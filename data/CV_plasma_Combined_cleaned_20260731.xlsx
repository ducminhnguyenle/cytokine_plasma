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15" windowHeight="12345" activeTab="1"/>
  </bookViews>
  <sheets>
    <sheet name="data_dictionary" sheetId="9" r:id="rId1"/>
    <sheet name="cytokines_data" sheetId="5" r:id="rId2"/>
  </sheets>
  <calcPr calcId="144525"/>
</workbook>
</file>

<file path=xl/sharedStrings.xml><?xml version="1.0" encoding="utf-8"?>
<sst xmlns="http://schemas.openxmlformats.org/spreadsheetml/2006/main" count="771" uniqueCount="360">
  <si>
    <t>Field</t>
  </si>
  <si>
    <t>Details</t>
  </si>
  <si>
    <t>sample_names</t>
  </si>
  <si>
    <t>original sample names</t>
  </si>
  <si>
    <t>sample_id</t>
  </si>
  <si>
    <t>unique sample_id mapped to each sample_names</t>
  </si>
  <si>
    <t>Cohort</t>
  </si>
  <si>
    <t>study cohort: LLU, UAB</t>
  </si>
  <si>
    <t>Sex</t>
  </si>
  <si>
    <t>Patient's sex:
1=male
2=female</t>
  </si>
  <si>
    <t>Race</t>
  </si>
  <si>
    <t>1=whitenonhispanic
2=whiteHispanic
3=Blacknonhispanic
4=blackhispanic
5=asian
6=others</t>
  </si>
  <si>
    <t>Tobaccouse</t>
  </si>
  <si>
    <t>1=never
2=former
3=current</t>
  </si>
  <si>
    <t>Packyears</t>
  </si>
  <si>
    <t>Tobacco packs per day x Years of smoking</t>
  </si>
  <si>
    <t>Alcoholuse</t>
  </si>
  <si>
    <t>pathologicstage</t>
  </si>
  <si>
    <t>stage 1 (1) to stage 5 (5)</t>
  </si>
  <si>
    <t>LVI</t>
  </si>
  <si>
    <t>Lymphovascular invasion
0=no
1=yes</t>
  </si>
  <si>
    <t>PNI</t>
  </si>
  <si>
    <t>Perineural invasion
0=no
1=yes</t>
  </si>
  <si>
    <t>survival_status</t>
  </si>
  <si>
    <t>0=alive
1=death</t>
  </si>
  <si>
    <t>sx_to_lastfu</t>
  </si>
  <si>
    <t>surgery date to last follow-up date (days)</t>
  </si>
  <si>
    <t>EGF</t>
  </si>
  <si>
    <t>EGF_zscore</t>
  </si>
  <si>
    <t>IFNalpha2</t>
  </si>
  <si>
    <t>IFNalpha2_zscore</t>
  </si>
  <si>
    <t>IFNgamma</t>
  </si>
  <si>
    <t>IFNgamma_zscore</t>
  </si>
  <si>
    <t>IL1alpha</t>
  </si>
  <si>
    <t>IL1alpha_zscore</t>
  </si>
  <si>
    <t>IL1beta</t>
  </si>
  <si>
    <t>IL1beta_zscore</t>
  </si>
  <si>
    <t>IL4</t>
  </si>
  <si>
    <t>IL4_zscore</t>
  </si>
  <si>
    <t>IL6</t>
  </si>
  <si>
    <t>IL6_zscore</t>
  </si>
  <si>
    <t>IL8</t>
  </si>
  <si>
    <t>IL8_zscore</t>
  </si>
  <si>
    <t>IL10</t>
  </si>
  <si>
    <t>IL10_zscore</t>
  </si>
  <si>
    <t>MIP1alpha</t>
  </si>
  <si>
    <t>MIP1alpha_zscore</t>
  </si>
  <si>
    <t>TGFalpha</t>
  </si>
  <si>
    <t>TGFalpha_zscore</t>
  </si>
  <si>
    <t>TNFalpha</t>
  </si>
  <si>
    <t>TNFalpha_zscore</t>
  </si>
  <si>
    <t>TNFbeta</t>
  </si>
  <si>
    <t>TNFbeta_zscore</t>
  </si>
  <si>
    <t>HBEGF</t>
  </si>
  <si>
    <t>HBEGF_zscore</t>
  </si>
  <si>
    <t>VEGFC</t>
  </si>
  <si>
    <t>VEGFC_zscore</t>
  </si>
  <si>
    <t>VEGFD</t>
  </si>
  <si>
    <t>VEGFD_zscore</t>
  </si>
  <si>
    <t>Ages</t>
  </si>
  <si>
    <t>AverageUCSF</t>
  </si>
  <si>
    <t>Spontaneouspain135</t>
  </si>
  <si>
    <t>Functionalpain246</t>
  </si>
  <si>
    <t>BPIPhysicalinterferences</t>
  </si>
  <si>
    <t>BPIPsychologicalinterferences</t>
  </si>
  <si>
    <t>BPI_intensity</t>
  </si>
  <si>
    <t>Functionalscores</t>
  </si>
  <si>
    <t>Symptomscore</t>
  </si>
  <si>
    <t>GlobalhealthstatusQL2</t>
  </si>
  <si>
    <t>QLQ30score</t>
  </si>
  <si>
    <t>HN35</t>
  </si>
  <si>
    <t>survival_2yrs</t>
  </si>
  <si>
    <t>FF301C</t>
  </si>
  <si>
    <t>LLU</t>
  </si>
  <si>
    <t>1</t>
  </si>
  <si>
    <t>FF302C</t>
  </si>
  <si>
    <t>FF303C</t>
  </si>
  <si>
    <t>FF304C</t>
  </si>
  <si>
    <t>FF305C</t>
  </si>
  <si>
    <t>2</t>
  </si>
  <si>
    <t>FF306C</t>
  </si>
  <si>
    <t>FF307C</t>
  </si>
  <si>
    <t>3</t>
  </si>
  <si>
    <t>FF308C</t>
  </si>
  <si>
    <t>FF310C</t>
  </si>
  <si>
    <t>FF312C</t>
  </si>
  <si>
    <t>FF313C</t>
  </si>
  <si>
    <t>FF314C</t>
  </si>
  <si>
    <t>FF316C</t>
  </si>
  <si>
    <t>FF317C</t>
  </si>
  <si>
    <t>FF319C</t>
  </si>
  <si>
    <t>FF320C</t>
  </si>
  <si>
    <t/>
  </si>
  <si>
    <t>FF321C</t>
  </si>
  <si>
    <t>FF323C</t>
  </si>
  <si>
    <t>FF324C</t>
  </si>
  <si>
    <t>FF325C</t>
  </si>
  <si>
    <t>FF326C</t>
  </si>
  <si>
    <t>FF327C</t>
  </si>
  <si>
    <t>FF328C</t>
  </si>
  <si>
    <t>FF329C</t>
  </si>
  <si>
    <t>FF330C</t>
  </si>
  <si>
    <t>FF332C</t>
  </si>
  <si>
    <t>FF333C</t>
  </si>
  <si>
    <t>FF334C</t>
  </si>
  <si>
    <t>FF338C</t>
  </si>
  <si>
    <t>FF340C</t>
  </si>
  <si>
    <t>FF341C</t>
  </si>
  <si>
    <t>FF342C</t>
  </si>
  <si>
    <t>FF343C</t>
  </si>
  <si>
    <t>FF344C</t>
  </si>
  <si>
    <t>FF345C</t>
  </si>
  <si>
    <t>FF346C</t>
  </si>
  <si>
    <t>FF347C</t>
  </si>
  <si>
    <t>FF348C</t>
  </si>
  <si>
    <t>FF349C</t>
  </si>
  <si>
    <t>FF350C</t>
  </si>
  <si>
    <t>FF351C</t>
  </si>
  <si>
    <t>FF352C</t>
  </si>
  <si>
    <t>FF353C</t>
  </si>
  <si>
    <t>FF354C</t>
  </si>
  <si>
    <t>FF355C</t>
  </si>
  <si>
    <t>0</t>
  </si>
  <si>
    <t>FF356C</t>
  </si>
  <si>
    <t>FF357C</t>
  </si>
  <si>
    <t>FF358C</t>
  </si>
  <si>
    <t>FF359C</t>
  </si>
  <si>
    <t>FF360C</t>
  </si>
  <si>
    <t>FF361C</t>
  </si>
  <si>
    <t>FF362C</t>
  </si>
  <si>
    <t>FF363C</t>
  </si>
  <si>
    <t>FF364C</t>
  </si>
  <si>
    <t>FF366C</t>
  </si>
  <si>
    <t>FF367C</t>
  </si>
  <si>
    <t>FF368C</t>
  </si>
  <si>
    <t>FF369C</t>
  </si>
  <si>
    <t>FF370C</t>
  </si>
  <si>
    <t>FF371C</t>
  </si>
  <si>
    <t>FF372C</t>
  </si>
  <si>
    <t>FF373C</t>
  </si>
  <si>
    <t>FF374C</t>
  </si>
  <si>
    <t>FF375C</t>
  </si>
  <si>
    <t>FF377C</t>
  </si>
  <si>
    <t>FF379C</t>
  </si>
  <si>
    <t>FF380C</t>
  </si>
  <si>
    <t>FF381C</t>
  </si>
  <si>
    <t>FF382C</t>
  </si>
  <si>
    <t>FF383C</t>
  </si>
  <si>
    <t>FF384C</t>
  </si>
  <si>
    <t>FF385C</t>
  </si>
  <si>
    <t>FF386C</t>
  </si>
  <si>
    <t>FF387C</t>
  </si>
  <si>
    <t>FF388C</t>
  </si>
  <si>
    <t>FF389C</t>
  </si>
  <si>
    <t>FF390C</t>
  </si>
  <si>
    <t>FF391C</t>
  </si>
  <si>
    <t>FF392C</t>
  </si>
  <si>
    <t>FF393C</t>
  </si>
  <si>
    <t>FF394C</t>
  </si>
  <si>
    <t>FF395C</t>
  </si>
  <si>
    <t>FF396C</t>
  </si>
  <si>
    <t>FF397C</t>
  </si>
  <si>
    <t>FF398C</t>
  </si>
  <si>
    <t>FF500C</t>
  </si>
  <si>
    <t>FF501C</t>
  </si>
  <si>
    <t>FF502C</t>
  </si>
  <si>
    <t>FF503C</t>
  </si>
  <si>
    <t>FF504C</t>
  </si>
  <si>
    <t>FF505C</t>
  </si>
  <si>
    <t>FF506C</t>
  </si>
  <si>
    <t>FF507C</t>
  </si>
  <si>
    <t>4</t>
  </si>
  <si>
    <t>FF508C</t>
  </si>
  <si>
    <t>FF509C</t>
  </si>
  <si>
    <t>FF510C</t>
  </si>
  <si>
    <t>FF511C</t>
  </si>
  <si>
    <t>FF512C</t>
  </si>
  <si>
    <t>FF513C</t>
  </si>
  <si>
    <t>FF514C</t>
  </si>
  <si>
    <t>FF515C</t>
  </si>
  <si>
    <t>FF516C</t>
  </si>
  <si>
    <t>FF517C</t>
  </si>
  <si>
    <t>FF518C</t>
  </si>
  <si>
    <t>FF519C</t>
  </si>
  <si>
    <t>FF520C</t>
  </si>
  <si>
    <t>FF521C</t>
  </si>
  <si>
    <t>FF522C</t>
  </si>
  <si>
    <t>FF523C</t>
  </si>
  <si>
    <t>FF525C</t>
  </si>
  <si>
    <t>FF526C</t>
  </si>
  <si>
    <t>FF527C</t>
  </si>
  <si>
    <t>P-001</t>
  </si>
  <si>
    <t>UAB</t>
  </si>
  <si>
    <t>P-002</t>
  </si>
  <si>
    <t>P-003</t>
  </si>
  <si>
    <t>P-004</t>
  </si>
  <si>
    <t>P-005</t>
  </si>
  <si>
    <t>P-006</t>
  </si>
  <si>
    <t>P-007</t>
  </si>
  <si>
    <t>P-008</t>
  </si>
  <si>
    <t>P-009</t>
  </si>
  <si>
    <t>P-014</t>
  </si>
  <si>
    <t>P-015</t>
  </si>
  <si>
    <t>P-016</t>
  </si>
  <si>
    <t>P-017</t>
  </si>
  <si>
    <t>P-018</t>
  </si>
  <si>
    <t>P-019</t>
  </si>
  <si>
    <t>P-020</t>
  </si>
  <si>
    <t>P-021</t>
  </si>
  <si>
    <t>P-022</t>
  </si>
  <si>
    <t>P-023</t>
  </si>
  <si>
    <t>P-024</t>
  </si>
  <si>
    <t>P-026</t>
  </si>
  <si>
    <t>P-027</t>
  </si>
  <si>
    <t>P-029</t>
  </si>
  <si>
    <t>P-030</t>
  </si>
  <si>
    <t>P-031</t>
  </si>
  <si>
    <t>P-032</t>
  </si>
  <si>
    <t>P-034</t>
  </si>
  <si>
    <t>P-035</t>
  </si>
  <si>
    <t>P-036</t>
  </si>
  <si>
    <t>P-037</t>
  </si>
  <si>
    <t>P-038</t>
  </si>
  <si>
    <t>P-039</t>
  </si>
  <si>
    <t>0003</t>
  </si>
  <si>
    <t>S0003</t>
  </si>
  <si>
    <t>0004</t>
  </si>
  <si>
    <t>S0004</t>
  </si>
  <si>
    <t>0005</t>
  </si>
  <si>
    <t>S0005</t>
  </si>
  <si>
    <t>0007</t>
  </si>
  <si>
    <t>S0007</t>
  </si>
  <si>
    <t>0008</t>
  </si>
  <si>
    <t>S0008</t>
  </si>
  <si>
    <t>0009</t>
  </si>
  <si>
    <t>S0009</t>
  </si>
  <si>
    <t>0010</t>
  </si>
  <si>
    <t>S0010</t>
  </si>
  <si>
    <t>0011</t>
  </si>
  <si>
    <t>S0011</t>
  </si>
  <si>
    <t>0012</t>
  </si>
  <si>
    <t>S0012</t>
  </si>
  <si>
    <t>0013</t>
  </si>
  <si>
    <t>S0013</t>
  </si>
  <si>
    <t>0014</t>
  </si>
  <si>
    <t>S0014</t>
  </si>
  <si>
    <t>0016</t>
  </si>
  <si>
    <t>S0016</t>
  </si>
  <si>
    <t>0017</t>
  </si>
  <si>
    <t>S0017</t>
  </si>
  <si>
    <t>0018</t>
  </si>
  <si>
    <t>S0018</t>
  </si>
  <si>
    <t>0019</t>
  </si>
  <si>
    <t>S0019</t>
  </si>
  <si>
    <t>0020</t>
  </si>
  <si>
    <t>S0020</t>
  </si>
  <si>
    <t>0022</t>
  </si>
  <si>
    <t>S0022</t>
  </si>
  <si>
    <t>0023</t>
  </si>
  <si>
    <t>S0023</t>
  </si>
  <si>
    <t>0024</t>
  </si>
  <si>
    <t>S0024</t>
  </si>
  <si>
    <t>0025</t>
  </si>
  <si>
    <t>S0025</t>
  </si>
  <si>
    <t>0026</t>
  </si>
  <si>
    <t>S0026</t>
  </si>
  <si>
    <t>0027</t>
  </si>
  <si>
    <t>S0027</t>
  </si>
  <si>
    <t>0028</t>
  </si>
  <si>
    <t>S0028</t>
  </si>
  <si>
    <t>0029</t>
  </si>
  <si>
    <t>S0029</t>
  </si>
  <si>
    <t>0031</t>
  </si>
  <si>
    <t>S0031</t>
  </si>
  <si>
    <t>0033</t>
  </si>
  <si>
    <t>S0033</t>
  </si>
  <si>
    <t>0034</t>
  </si>
  <si>
    <t>S0034</t>
  </si>
  <si>
    <t>0035</t>
  </si>
  <si>
    <t>S0035</t>
  </si>
  <si>
    <t>0037</t>
  </si>
  <si>
    <t>S0037</t>
  </si>
  <si>
    <t>0038</t>
  </si>
  <si>
    <t>S0038</t>
  </si>
  <si>
    <t>0039</t>
  </si>
  <si>
    <t>S0039</t>
  </si>
  <si>
    <t>0041</t>
  </si>
  <si>
    <t>S0041</t>
  </si>
  <si>
    <t>0042</t>
  </si>
  <si>
    <t>S0042</t>
  </si>
  <si>
    <t>0043</t>
  </si>
  <si>
    <t>S0043</t>
  </si>
  <si>
    <t>0044</t>
  </si>
  <si>
    <t>S0044</t>
  </si>
  <si>
    <t>0045</t>
  </si>
  <si>
    <t>S0045</t>
  </si>
  <si>
    <t>0046</t>
  </si>
  <si>
    <t>S0046</t>
  </si>
  <si>
    <t>0047</t>
  </si>
  <si>
    <t>S0047</t>
  </si>
  <si>
    <t>0048</t>
  </si>
  <si>
    <t>S0048</t>
  </si>
  <si>
    <t>0049</t>
  </si>
  <si>
    <t>S0049</t>
  </si>
  <si>
    <t>0050</t>
  </si>
  <si>
    <t>S0050</t>
  </si>
  <si>
    <t>0051</t>
  </si>
  <si>
    <t>S0051</t>
  </si>
  <si>
    <t>0052</t>
  </si>
  <si>
    <t>S0052</t>
  </si>
  <si>
    <t>0053</t>
  </si>
  <si>
    <t>S0053</t>
  </si>
  <si>
    <t>0054</t>
  </si>
  <si>
    <t>S0054</t>
  </si>
  <si>
    <t>0055</t>
  </si>
  <si>
    <t>S0055</t>
  </si>
  <si>
    <t>0056</t>
  </si>
  <si>
    <t>S0056</t>
  </si>
  <si>
    <t>0058</t>
  </si>
  <si>
    <t>S0058</t>
  </si>
  <si>
    <t>0059</t>
  </si>
  <si>
    <t>S0059</t>
  </si>
  <si>
    <t>0060</t>
  </si>
  <si>
    <t>S0060</t>
  </si>
  <si>
    <t>0061</t>
  </si>
  <si>
    <t>S0061</t>
  </si>
  <si>
    <t>0062</t>
  </si>
  <si>
    <t>S0062</t>
  </si>
  <si>
    <t>0063</t>
  </si>
  <si>
    <t>S0063</t>
  </si>
  <si>
    <t>0064</t>
  </si>
  <si>
    <t>S0064</t>
  </si>
  <si>
    <t>0065</t>
  </si>
  <si>
    <t>S0065</t>
  </si>
  <si>
    <t>0066</t>
  </si>
  <si>
    <t>S0066</t>
  </si>
  <si>
    <t>0068</t>
  </si>
  <si>
    <t>S0068</t>
  </si>
  <si>
    <t>0069</t>
  </si>
  <si>
    <t>S0069</t>
  </si>
  <si>
    <t>0070</t>
  </si>
  <si>
    <t>S0070</t>
  </si>
  <si>
    <t>0071</t>
  </si>
  <si>
    <t>S0071</t>
  </si>
  <si>
    <t>0072</t>
  </si>
  <si>
    <t>S0072</t>
  </si>
  <si>
    <t>0074</t>
  </si>
  <si>
    <t>S0074</t>
  </si>
  <si>
    <t>0075</t>
  </si>
  <si>
    <t>S0075</t>
  </si>
  <si>
    <t>0076</t>
  </si>
  <si>
    <t>S0076</t>
  </si>
  <si>
    <t>0077</t>
  </si>
  <si>
    <t>S0077</t>
  </si>
  <si>
    <t>0078</t>
  </si>
  <si>
    <t>S0078</t>
  </si>
  <si>
    <t>0079</t>
  </si>
  <si>
    <t>S0079</t>
  </si>
  <si>
    <t>0080</t>
  </si>
  <si>
    <t>S0080</t>
  </si>
</sst>
</file>

<file path=xl/styles.xml><?xml version="1.0" encoding="utf-8"?>
<styleSheet xmlns="http://schemas.openxmlformats.org/spreadsheetml/2006/main">
  <numFmts count="7">
    <numFmt numFmtId="176" formatCode="0.0"/>
    <numFmt numFmtId="44" formatCode="_(&quot;$&quot;* #,##0.00_);_(&quot;$&quot;* \(#,##0.00\);_(&quot;$&quot;* &quot;-&quot;??_);_(@_)"/>
    <numFmt numFmtId="177" formatCode="[$-409]General"/>
    <numFmt numFmtId="178" formatCode="0.00_ "/>
    <numFmt numFmtId="179" formatCode="_ * #,##0.00_ ;_ * \-#,##0.00_ ;_ * &quot;-&quot;??_ ;_ @_ "/>
    <numFmt numFmtId="42" formatCode="_(&quot;$&quot;* #,##0_);_(&quot;$&quot;* \(#,##0\);_(&quot;$&quot;* &quot;-&quot;_);_(@_)"/>
    <numFmt numFmtId="180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sz val="12"/>
      <name val="Arial"/>
      <charset val="134"/>
    </font>
    <font>
      <sz val="12"/>
      <color rgb="FF000000"/>
      <name val="Arial"/>
      <charset val="134"/>
    </font>
    <font>
      <sz val="12"/>
      <color indexed="8"/>
      <name val="Arial"/>
      <charset val="134"/>
    </font>
    <font>
      <sz val="12"/>
      <color indexed="12"/>
      <name val="Arial"/>
      <charset val="134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2"/>
      <color rgb="FF00000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/>
      <right style="thick">
        <color indexed="9"/>
      </right>
      <top/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/>
      <right style="thin">
        <color indexed="11"/>
      </right>
      <top/>
      <bottom style="thick">
        <color indexed="9"/>
      </bottom>
      <diagonal/>
    </border>
    <border>
      <left/>
      <right/>
      <top/>
      <bottom style="thick">
        <color indexed="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177" fontId="28" fillId="0" borderId="0"/>
    <xf numFmtId="0" fontId="9" fillId="3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3" fillId="13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0" fillId="22" borderId="11" applyNumberFormat="0" applyFon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60">
    <xf numFmtId="0" fontId="0" fillId="0" borderId="0" xfId="0"/>
    <xf numFmtId="0" fontId="1" fillId="0" borderId="0" xfId="0" applyFont="1" applyAlignment="1">
      <alignment horizontal="left" vertical="center"/>
    </xf>
    <xf numFmtId="49" fontId="0" fillId="0" borderId="0" xfId="0" applyNumberFormat="1" applyAlignment="1"/>
    <xf numFmtId="49" fontId="2" fillId="0" borderId="0" xfId="0" applyNumberFormat="1" applyFont="1" applyAlignment="1"/>
    <xf numFmtId="178" fontId="0" fillId="0" borderId="0" xfId="0" applyNumberFormat="1" applyAlignment="1"/>
    <xf numFmtId="178" fontId="0" fillId="0" borderId="0" xfId="0" applyNumberFormat="1" applyFill="1" applyAlignment="1"/>
    <xf numFmtId="1" fontId="0" fillId="0" borderId="0" xfId="0" applyNumberFormat="1" applyFill="1" applyAlignment="1"/>
    <xf numFmtId="49" fontId="0" fillId="0" borderId="0" xfId="0" applyNumberFormat="1" applyFill="1" applyAlignment="1"/>
    <xf numFmtId="176" fontId="0" fillId="0" borderId="0" xfId="0" applyNumberFormat="1" applyFill="1" applyAlignment="1"/>
    <xf numFmtId="2" fontId="0" fillId="0" borderId="0" xfId="0" applyNumberFormat="1" applyAlignment="1"/>
    <xf numFmtId="0" fontId="0" fillId="0" borderId="0" xfId="0" applyAlignment="1"/>
    <xf numFmtId="49" fontId="3" fillId="2" borderId="0" xfId="0" applyNumberFormat="1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 wrapText="1"/>
    </xf>
    <xf numFmtId="178" fontId="3" fillId="2" borderId="0" xfId="0" applyNumberFormat="1" applyFont="1" applyFill="1" applyAlignment="1">
      <alignment horizontal="left" vertical="center"/>
    </xf>
    <xf numFmtId="49" fontId="4" fillId="0" borderId="0" xfId="0" applyNumberFormat="1" applyFont="1" applyAlignment="1"/>
    <xf numFmtId="49" fontId="3" fillId="0" borderId="0" xfId="0" applyNumberFormat="1" applyFont="1" applyAlignment="1"/>
    <xf numFmtId="178" fontId="4" fillId="0" borderId="0" xfId="0" applyNumberFormat="1" applyFont="1" applyAlignment="1"/>
    <xf numFmtId="49" fontId="4" fillId="3" borderId="0" xfId="0" applyNumberFormat="1" applyFont="1" applyFill="1" applyAlignment="1"/>
    <xf numFmtId="49" fontId="3" fillId="3" borderId="0" xfId="0" applyNumberFormat="1" applyFont="1" applyFill="1" applyAlignment="1"/>
    <xf numFmtId="178" fontId="4" fillId="3" borderId="0" xfId="0" applyNumberFormat="1" applyFont="1" applyFill="1" applyAlignment="1"/>
    <xf numFmtId="178" fontId="4" fillId="0" borderId="0" xfId="0" applyNumberFormat="1" applyFont="1" applyBorder="1" applyAlignment="1"/>
    <xf numFmtId="178" fontId="3" fillId="0" borderId="0" xfId="0" applyNumberFormat="1" applyFont="1" applyFill="1" applyAlignment="1">
      <alignment horizontal="left" vertical="center"/>
    </xf>
    <xf numFmtId="1" fontId="3" fillId="0" borderId="0" xfId="0" applyNumberFormat="1" applyFont="1" applyFill="1" applyAlignment="1">
      <alignment horizontal="left" vertical="center"/>
    </xf>
    <xf numFmtId="178" fontId="4" fillId="0" borderId="0" xfId="0" applyNumberFormat="1" applyFont="1" applyFill="1" applyAlignment="1"/>
    <xf numFmtId="1" fontId="4" fillId="0" borderId="0" xfId="0" applyNumberFormat="1" applyFont="1" applyFill="1" applyAlignment="1"/>
    <xf numFmtId="178" fontId="4" fillId="3" borderId="0" xfId="0" applyNumberFormat="1" applyFont="1" applyFill="1" applyBorder="1" applyAlignment="1"/>
    <xf numFmtId="49" fontId="3" fillId="0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176" fontId="3" fillId="0" borderId="0" xfId="0" applyNumberFormat="1" applyFont="1" applyFill="1" applyAlignment="1">
      <alignment horizontal="left" vertical="center"/>
    </xf>
    <xf numFmtId="49" fontId="4" fillId="0" borderId="0" xfId="0" applyNumberFormat="1" applyFont="1" applyFill="1" applyAlignment="1"/>
    <xf numFmtId="176" fontId="4" fillId="0" borderId="0" xfId="0" applyNumberFormat="1" applyFont="1" applyFill="1" applyAlignment="1"/>
    <xf numFmtId="176" fontId="4" fillId="0" borderId="0" xfId="0" applyNumberFormat="1" applyFont="1" applyFill="1" applyAlignment="1">
      <alignment vertical="top"/>
    </xf>
    <xf numFmtId="176" fontId="5" fillId="0" borderId="0" xfId="0" applyNumberFormat="1" applyFont="1" applyFill="1" applyAlignment="1">
      <alignment vertical="top"/>
    </xf>
    <xf numFmtId="49" fontId="5" fillId="0" borderId="0" xfId="0" applyNumberFormat="1" applyFont="1" applyAlignment="1">
      <alignment vertical="top"/>
    </xf>
    <xf numFmtId="2" fontId="3" fillId="0" borderId="0" xfId="0" applyNumberFormat="1" applyFont="1" applyAlignment="1">
      <alignment horizontal="left" vertical="center"/>
    </xf>
    <xf numFmtId="2" fontId="4" fillId="0" borderId="0" xfId="0" applyNumberFormat="1" applyFont="1" applyAlignment="1"/>
    <xf numFmtId="49" fontId="4" fillId="0" borderId="0" xfId="0" applyNumberFormat="1" applyFont="1" applyAlignment="1">
      <alignment vertical="top" wrapText="1"/>
    </xf>
    <xf numFmtId="49" fontId="4" fillId="4" borderId="0" xfId="0" applyNumberFormat="1" applyFont="1" applyFill="1" applyAlignment="1">
      <alignment vertical="top" wrapText="1"/>
    </xf>
    <xf numFmtId="1" fontId="4" fillId="0" borderId="0" xfId="0" applyNumberFormat="1" applyFont="1" applyAlignment="1">
      <alignment vertical="top" wrapText="1"/>
    </xf>
    <xf numFmtId="178" fontId="4" fillId="3" borderId="0" xfId="0" applyNumberFormat="1" applyFont="1" applyFill="1" applyAlignment="1">
      <alignment vertical="center"/>
    </xf>
    <xf numFmtId="178" fontId="5" fillId="5" borderId="0" xfId="0" applyNumberFormat="1" applyFont="1" applyFill="1" applyAlignment="1" applyProtection="1">
      <alignment vertical="top" wrapText="1" readingOrder="1"/>
      <protection locked="0"/>
    </xf>
    <xf numFmtId="178" fontId="5" fillId="2" borderId="0" xfId="0" applyNumberFormat="1" applyFont="1" applyFill="1" applyAlignment="1"/>
    <xf numFmtId="178" fontId="4" fillId="3" borderId="0" xfId="0" applyNumberFormat="1" applyFont="1" applyFill="1" applyBorder="1" applyAlignment="1">
      <alignment vertical="center"/>
    </xf>
    <xf numFmtId="178" fontId="5" fillId="5" borderId="0" xfId="0" applyNumberFormat="1" applyFont="1" applyFill="1" applyBorder="1" applyAlignment="1" applyProtection="1">
      <alignment vertical="top" wrapText="1" readingOrder="1"/>
      <protection locked="0"/>
    </xf>
    <xf numFmtId="1" fontId="4" fillId="0" borderId="0" xfId="0" applyNumberFormat="1" applyFont="1" applyAlignment="1"/>
    <xf numFmtId="178" fontId="5" fillId="5" borderId="1" xfId="0" applyNumberFormat="1" applyFont="1" applyFill="1" applyBorder="1" applyAlignment="1" applyProtection="1">
      <alignment vertical="top" wrapText="1" readingOrder="1"/>
      <protection locked="0"/>
    </xf>
    <xf numFmtId="49" fontId="4" fillId="6" borderId="0" xfId="0" applyNumberFormat="1" applyFont="1" applyFill="1" applyAlignment="1"/>
    <xf numFmtId="176" fontId="6" fillId="0" borderId="0" xfId="0" applyNumberFormat="1" applyFont="1" applyFill="1" applyBorder="1" applyAlignment="1"/>
    <xf numFmtId="49" fontId="7" fillId="0" borderId="2" xfId="0" applyNumberFormat="1" applyFont="1" applyBorder="1" applyAlignment="1" applyProtection="1">
      <alignment vertical="top" wrapText="1" readingOrder="1"/>
      <protection locked="0"/>
    </xf>
    <xf numFmtId="178" fontId="8" fillId="0" borderId="0" xfId="0" applyNumberFormat="1" applyFont="1" applyFill="1" applyAlignment="1" applyProtection="1">
      <alignment vertical="top" wrapText="1" readingOrder="1"/>
      <protection locked="0"/>
    </xf>
    <xf numFmtId="49" fontId="7" fillId="0" borderId="3" xfId="0" applyNumberFormat="1" applyFont="1" applyBorder="1" applyAlignment="1" applyProtection="1">
      <alignment vertical="top" wrapText="1" readingOrder="1"/>
      <protection locked="0"/>
    </xf>
    <xf numFmtId="178" fontId="8" fillId="0" borderId="4" xfId="0" applyNumberFormat="1" applyFont="1" applyFill="1" applyBorder="1" applyAlignment="1" applyProtection="1">
      <alignment vertical="top" wrapText="1" readingOrder="1"/>
      <protection locked="0"/>
    </xf>
    <xf numFmtId="178" fontId="7" fillId="0" borderId="0" xfId="0" applyNumberFormat="1" applyFont="1" applyFill="1" applyAlignment="1" applyProtection="1">
      <alignment vertical="top" wrapText="1" readingOrder="1"/>
      <protection locked="0"/>
    </xf>
    <xf numFmtId="178" fontId="8" fillId="0" borderId="0" xfId="0" applyNumberFormat="1" applyFont="1" applyFill="1" applyBorder="1" applyAlignment="1" applyProtection="1">
      <alignment vertical="top" wrapText="1" readingOrder="1"/>
      <protection locked="0"/>
    </xf>
    <xf numFmtId="178" fontId="8" fillId="0" borderId="1" xfId="0" applyNumberFormat="1" applyFont="1" applyFill="1" applyBorder="1" applyAlignment="1" applyProtection="1">
      <alignment vertical="top" wrapText="1" readingOrder="1"/>
      <protection locked="0"/>
    </xf>
    <xf numFmtId="49" fontId="7" fillId="0" borderId="0" xfId="0" applyNumberFormat="1" applyFont="1" applyFill="1" applyBorder="1" applyAlignment="1" applyProtection="1">
      <alignment vertical="top" wrapText="1" readingOrder="1"/>
      <protection locked="0"/>
    </xf>
    <xf numFmtId="178" fontId="4" fillId="0" borderId="0" xfId="0" applyNumberFormat="1" applyFont="1" applyFill="1" applyBorder="1" applyAlignment="1"/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wrapText="1"/>
    </xf>
  </cellXfs>
  <cellStyles count="50">
    <cellStyle name="Normal" xfId="0" builtinId="0"/>
    <cellStyle name="Excel Built-in Normal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B5" sqref="B5"/>
    </sheetView>
  </sheetViews>
  <sheetFormatPr defaultColWidth="9" defaultRowHeight="15" outlineLevelCol="1"/>
  <cols>
    <col min="1" max="1" width="33.725" style="57" customWidth="1"/>
    <col min="2" max="2" width="51.1833333333333" style="57" customWidth="1"/>
    <col min="3" max="16384" width="8.725" style="57"/>
  </cols>
  <sheetData>
    <row r="1" spans="1:2">
      <c r="A1" s="58" t="s">
        <v>0</v>
      </c>
      <c r="B1" s="58" t="s">
        <v>1</v>
      </c>
    </row>
    <row r="2" spans="1:2">
      <c r="A2" s="57" t="s">
        <v>2</v>
      </c>
      <c r="B2" s="57" t="s">
        <v>3</v>
      </c>
    </row>
    <row r="3" spans="1:2">
      <c r="A3" s="57" t="s">
        <v>4</v>
      </c>
      <c r="B3" s="57" t="s">
        <v>5</v>
      </c>
    </row>
    <row r="4" spans="1:2">
      <c r="A4" s="57" t="s">
        <v>6</v>
      </c>
      <c r="B4" s="59" t="s">
        <v>7</v>
      </c>
    </row>
    <row r="5" ht="45" spans="1:2">
      <c r="A5" s="57" t="s">
        <v>8</v>
      </c>
      <c r="B5" s="59" t="s">
        <v>9</v>
      </c>
    </row>
    <row r="6" ht="90" spans="1:2">
      <c r="A6" s="57" t="s">
        <v>10</v>
      </c>
      <c r="B6" s="59" t="s">
        <v>11</v>
      </c>
    </row>
    <row r="7" ht="45" spans="1:2">
      <c r="A7" s="57" t="s">
        <v>12</v>
      </c>
      <c r="B7" s="59" t="s">
        <v>13</v>
      </c>
    </row>
    <row r="8" spans="1:2">
      <c r="A8" s="57" t="s">
        <v>14</v>
      </c>
      <c r="B8" s="57" t="s">
        <v>15</v>
      </c>
    </row>
    <row r="9" ht="45" spans="1:2">
      <c r="A9" s="57" t="s">
        <v>16</v>
      </c>
      <c r="B9" s="59" t="s">
        <v>13</v>
      </c>
    </row>
    <row r="10" spans="1:2">
      <c r="A10" s="57" t="s">
        <v>17</v>
      </c>
      <c r="B10" s="57" t="s">
        <v>18</v>
      </c>
    </row>
    <row r="11" ht="45" spans="1:2">
      <c r="A11" s="57" t="s">
        <v>19</v>
      </c>
      <c r="B11" s="59" t="s">
        <v>20</v>
      </c>
    </row>
    <row r="12" ht="45" spans="1:2">
      <c r="A12" s="57" t="s">
        <v>21</v>
      </c>
      <c r="B12" s="59" t="s">
        <v>22</v>
      </c>
    </row>
    <row r="13" ht="30" spans="1:2">
      <c r="A13" s="57" t="s">
        <v>23</v>
      </c>
      <c r="B13" s="59" t="s">
        <v>24</v>
      </c>
    </row>
    <row r="14" spans="1:2">
      <c r="A14" s="57" t="s">
        <v>25</v>
      </c>
      <c r="B14" s="57" t="s">
        <v>26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13"/>
  <sheetViews>
    <sheetView tabSelected="1" workbookViewId="0">
      <pane xSplit="1" ySplit="1" topLeftCell="AI2" activePane="bottomRight" state="frozen"/>
      <selection/>
      <selection pane="topRight"/>
      <selection pane="bottomLeft"/>
      <selection pane="bottomRight" activeCell="AN13" sqref="AN13"/>
    </sheetView>
  </sheetViews>
  <sheetFormatPr defaultColWidth="5.18333333333333" defaultRowHeight="15"/>
  <cols>
    <col min="1" max="1" width="18.3666666666667" style="2" customWidth="1"/>
    <col min="2" max="2" width="18.0916666666667" style="2" customWidth="1"/>
    <col min="3" max="3" width="12.5416666666667" style="3" customWidth="1"/>
    <col min="4" max="4" width="8" style="4" customWidth="1"/>
    <col min="5" max="5" width="13.0416666666667" style="4" customWidth="1"/>
    <col min="6" max="6" width="11.45" style="4" customWidth="1"/>
    <col min="7" max="8" width="12.1833333333333" style="4" customWidth="1"/>
    <col min="9" max="9" width="9.5" style="4" customWidth="1"/>
    <col min="10" max="10" width="10" style="4" customWidth="1"/>
    <col min="11" max="11" width="12" style="4" customWidth="1"/>
    <col min="12" max="12" width="8.725" style="4" customWidth="1"/>
    <col min="13" max="14" width="9.09166666666667" style="4" customWidth="1"/>
    <col min="15" max="15" width="10" style="4" customWidth="1"/>
    <col min="16" max="16" width="7.125" style="4" customWidth="1"/>
    <col min="17" max="18" width="7.81666666666667" style="4" customWidth="1"/>
    <col min="19" max="19" width="7" style="4" customWidth="1"/>
    <col min="20" max="20" width="7.81666666666667" style="4" customWidth="1"/>
    <col min="21" max="22" width="12" style="4" customWidth="1"/>
    <col min="23" max="24" width="11.3666666666667" style="4" customWidth="1"/>
    <col min="25" max="26" width="11.0916666666667" style="4" customWidth="1"/>
    <col min="27" max="28" width="9.90833333333333" style="4" customWidth="1"/>
    <col min="29" max="30" width="8.63333333333333" style="4" customWidth="1"/>
    <col min="31" max="34" width="9.09166666666667" style="4" customWidth="1"/>
    <col min="35" max="35" width="16.125" style="5" customWidth="1"/>
    <col min="36" max="36" width="6.36666666666667" style="6" customWidth="1"/>
    <col min="37" max="37" width="10.6333333333333" style="7" customWidth="1"/>
    <col min="38" max="38" width="12.725" style="7" customWidth="1"/>
    <col min="39" max="39" width="15.6333333333333" style="7" customWidth="1"/>
    <col min="40" max="40" width="13.0916666666667" style="8" customWidth="1"/>
    <col min="41" max="41" width="17.0916666666667" style="7" customWidth="1"/>
    <col min="42" max="42" width="15.0916666666667" style="9" customWidth="1"/>
    <col min="43" max="43" width="14.2666666666667" style="9" customWidth="1"/>
    <col min="44" max="44" width="20.6333333333333" style="9" customWidth="1"/>
    <col min="45" max="45" width="12.2666666666667" style="9" customWidth="1"/>
    <col min="46" max="46" width="13.725" style="9" customWidth="1"/>
    <col min="47" max="47" width="8.90833333333333" style="9" customWidth="1"/>
    <col min="48" max="48" width="8.26666666666667" style="9" customWidth="1"/>
    <col min="49" max="49" width="9.09166666666667" style="9" customWidth="1"/>
    <col min="50" max="50" width="9.81666666666667" style="9" customWidth="1"/>
    <col min="51" max="51" width="8.81666666666667" style="9" customWidth="1"/>
    <col min="52" max="52" width="9.09166666666667" style="9" customWidth="1"/>
    <col min="53" max="53" width="11.6333333333333" style="7" customWidth="1"/>
    <col min="54" max="54" width="8.36666666666667" style="7" customWidth="1"/>
    <col min="55" max="55" width="11.2666666666667" style="7" customWidth="1"/>
    <col min="56" max="56" width="20.0916666666667" style="7" customWidth="1"/>
    <col min="57" max="57" width="20.0916666666667" style="6" customWidth="1"/>
    <col min="58" max="58" width="20.0916666666667" style="7" customWidth="1"/>
    <col min="59" max="16384" width="5.18333333333333" style="10"/>
  </cols>
  <sheetData>
    <row r="1" s="1" customFormat="1" ht="23" customHeight="1" spans="1:58">
      <c r="A1" s="11" t="s">
        <v>2</v>
      </c>
      <c r="B1" s="11" t="s">
        <v>4</v>
      </c>
      <c r="C1" s="12" t="s">
        <v>6</v>
      </c>
      <c r="D1" s="13" t="s">
        <v>27</v>
      </c>
      <c r="E1" s="13" t="s">
        <v>28</v>
      </c>
      <c r="F1" s="13" t="s">
        <v>29</v>
      </c>
      <c r="G1" s="13" t="s">
        <v>30</v>
      </c>
      <c r="H1" s="13" t="s">
        <v>31</v>
      </c>
      <c r="I1" s="13" t="s">
        <v>32</v>
      </c>
      <c r="J1" s="13" t="s">
        <v>33</v>
      </c>
      <c r="K1" s="13" t="s">
        <v>34</v>
      </c>
      <c r="L1" s="13" t="s">
        <v>35</v>
      </c>
      <c r="M1" s="13" t="s">
        <v>36</v>
      </c>
      <c r="N1" s="13" t="s">
        <v>37</v>
      </c>
      <c r="O1" s="13" t="s">
        <v>38</v>
      </c>
      <c r="P1" s="13" t="s">
        <v>39</v>
      </c>
      <c r="Q1" s="13" t="s">
        <v>40</v>
      </c>
      <c r="R1" s="13" t="s">
        <v>41</v>
      </c>
      <c r="S1" s="13" t="s">
        <v>42</v>
      </c>
      <c r="T1" s="13" t="s">
        <v>43</v>
      </c>
      <c r="U1" s="13" t="s">
        <v>44</v>
      </c>
      <c r="V1" s="13" t="s">
        <v>45</v>
      </c>
      <c r="W1" s="13" t="s">
        <v>46</v>
      </c>
      <c r="X1" s="13" t="s">
        <v>47</v>
      </c>
      <c r="Y1" s="13" t="s">
        <v>48</v>
      </c>
      <c r="Z1" s="13" t="s">
        <v>49</v>
      </c>
      <c r="AA1" s="13" t="s">
        <v>50</v>
      </c>
      <c r="AB1" s="13" t="s">
        <v>51</v>
      </c>
      <c r="AC1" s="13" t="s">
        <v>52</v>
      </c>
      <c r="AD1" s="13" t="s">
        <v>53</v>
      </c>
      <c r="AE1" s="13" t="s">
        <v>54</v>
      </c>
      <c r="AF1" s="13" t="s">
        <v>55</v>
      </c>
      <c r="AG1" s="13" t="s">
        <v>56</v>
      </c>
      <c r="AH1" s="13" t="s">
        <v>57</v>
      </c>
      <c r="AI1" s="21" t="s">
        <v>58</v>
      </c>
      <c r="AJ1" s="22" t="s">
        <v>59</v>
      </c>
      <c r="AK1" s="26" t="s">
        <v>8</v>
      </c>
      <c r="AL1" s="27" t="s">
        <v>10</v>
      </c>
      <c r="AM1" s="26" t="s">
        <v>12</v>
      </c>
      <c r="AN1" s="28" t="s">
        <v>14</v>
      </c>
      <c r="AO1" s="26" t="s">
        <v>16</v>
      </c>
      <c r="AP1" s="34" t="s">
        <v>60</v>
      </c>
      <c r="AQ1" s="34" t="s">
        <v>61</v>
      </c>
      <c r="AR1" s="34" t="s">
        <v>62</v>
      </c>
      <c r="AS1" s="34" t="s">
        <v>63</v>
      </c>
      <c r="AT1" s="34" t="s">
        <v>64</v>
      </c>
      <c r="AU1" s="34" t="s">
        <v>65</v>
      </c>
      <c r="AV1" s="34" t="s">
        <v>66</v>
      </c>
      <c r="AW1" s="34" t="s">
        <v>67</v>
      </c>
      <c r="AX1" s="34" t="s">
        <v>68</v>
      </c>
      <c r="AY1" s="34" t="s">
        <v>69</v>
      </c>
      <c r="AZ1" s="34" t="s">
        <v>70</v>
      </c>
      <c r="BA1" s="26" t="s">
        <v>17</v>
      </c>
      <c r="BB1" s="26" t="s">
        <v>19</v>
      </c>
      <c r="BC1" s="26" t="s">
        <v>21</v>
      </c>
      <c r="BD1" s="26" t="s">
        <v>23</v>
      </c>
      <c r="BE1" s="22" t="s">
        <v>25</v>
      </c>
      <c r="BF1" s="26" t="s">
        <v>71</v>
      </c>
    </row>
    <row r="2" spans="1:58">
      <c r="A2" s="14" t="s">
        <v>72</v>
      </c>
      <c r="B2" s="14" t="s">
        <v>72</v>
      </c>
      <c r="C2" s="15" t="s">
        <v>73</v>
      </c>
      <c r="D2" s="16">
        <v>29.4503447333738</v>
      </c>
      <c r="E2" s="16">
        <v>-0.147487900189363</v>
      </c>
      <c r="F2" s="16">
        <v>25.2391216641841</v>
      </c>
      <c r="G2" s="16">
        <v>0.120856556219271</v>
      </c>
      <c r="H2" s="16">
        <v>90.0015274149213</v>
      </c>
      <c r="I2" s="16">
        <v>1.40299929276889</v>
      </c>
      <c r="J2" s="16">
        <v>6.40368357280505</v>
      </c>
      <c r="K2" s="16">
        <v>-0.235511376876163</v>
      </c>
      <c r="L2" s="16">
        <v>3.9521580908798</v>
      </c>
      <c r="M2" s="16">
        <v>-0.105888892569277</v>
      </c>
      <c r="N2" s="16">
        <v>4.21054761209323</v>
      </c>
      <c r="O2" s="16">
        <v>1.04069455557506</v>
      </c>
      <c r="P2" s="16">
        <v>3.53664122643295</v>
      </c>
      <c r="Q2" s="16">
        <v>-0.431104254927201</v>
      </c>
      <c r="R2" s="16">
        <v>4.13879273223347</v>
      </c>
      <c r="S2" s="16">
        <v>-0.181683354940619</v>
      </c>
      <c r="T2" s="16">
        <v>3.9163410607151</v>
      </c>
      <c r="U2" s="16">
        <v>-0.483168998099648</v>
      </c>
      <c r="V2" s="16">
        <v>25.9310616286774</v>
      </c>
      <c r="W2" s="16">
        <v>0.0997219196345045</v>
      </c>
      <c r="X2" s="16">
        <v>3.32135949754321</v>
      </c>
      <c r="Y2" s="16">
        <v>-0.194254863067822</v>
      </c>
      <c r="Z2" s="16">
        <v>18.7425071022204</v>
      </c>
      <c r="AA2" s="16">
        <v>0.00435184738707065</v>
      </c>
      <c r="AB2" s="16">
        <v>10.4633890491238</v>
      </c>
      <c r="AC2" s="16">
        <v>0.183693035887976</v>
      </c>
      <c r="AD2" s="16">
        <v>83.2672761097508</v>
      </c>
      <c r="AE2" s="16">
        <v>1.16427107337694</v>
      </c>
      <c r="AF2" s="16">
        <v>381.471441157298</v>
      </c>
      <c r="AG2" s="16">
        <v>-0.553547338899252</v>
      </c>
      <c r="AH2" s="16">
        <v>263.048816794262</v>
      </c>
      <c r="AI2" s="23">
        <v>0.0846031880433233</v>
      </c>
      <c r="AJ2" s="24">
        <v>67</v>
      </c>
      <c r="AK2" s="29">
        <v>2</v>
      </c>
      <c r="AL2" s="14">
        <v>1</v>
      </c>
      <c r="AM2" s="29">
        <v>1</v>
      </c>
      <c r="AN2" s="30">
        <v>0</v>
      </c>
      <c r="AO2" s="29">
        <v>1</v>
      </c>
      <c r="AP2" s="35">
        <v>1.5</v>
      </c>
      <c r="AQ2" s="35">
        <v>0.333333333333333</v>
      </c>
      <c r="AR2" s="35">
        <v>0.333333333333333</v>
      </c>
      <c r="AS2" s="35">
        <v>0</v>
      </c>
      <c r="AT2" s="35">
        <v>0</v>
      </c>
      <c r="AU2" s="35">
        <v>0</v>
      </c>
      <c r="AV2" s="35">
        <v>83.3333333333333</v>
      </c>
      <c r="AW2" s="35">
        <v>19.4444444444444</v>
      </c>
      <c r="AX2" s="35">
        <v>75</v>
      </c>
      <c r="AY2" s="35">
        <v>81.6239316239316</v>
      </c>
      <c r="AZ2" s="35">
        <v>30.5555555555556</v>
      </c>
      <c r="BA2" s="29" t="s">
        <v>74</v>
      </c>
      <c r="BB2" s="29">
        <v>0</v>
      </c>
      <c r="BC2" s="29">
        <v>0</v>
      </c>
      <c r="BD2" s="36">
        <f>0</f>
        <v>0</v>
      </c>
      <c r="BE2" s="38">
        <v>1839</v>
      </c>
      <c r="BF2" s="36">
        <f>IF(BE2&gt;730,0,IF(BD2=1,1,0))</f>
        <v>0</v>
      </c>
    </row>
    <row r="3" spans="1:58">
      <c r="A3" s="14" t="s">
        <v>75</v>
      </c>
      <c r="B3" s="14" t="s">
        <v>75</v>
      </c>
      <c r="C3" s="15" t="s">
        <v>73</v>
      </c>
      <c r="D3" s="16">
        <v>71.4997791787102</v>
      </c>
      <c r="E3" s="16">
        <v>0.865601065232439</v>
      </c>
      <c r="F3" s="16">
        <v>9.92570024696269</v>
      </c>
      <c r="G3" s="16">
        <v>-0.237410220973838</v>
      </c>
      <c r="H3" s="16">
        <v>46.3501173304638</v>
      </c>
      <c r="I3" s="16">
        <v>-0.121395077100431</v>
      </c>
      <c r="J3" s="16">
        <v>0</v>
      </c>
      <c r="K3" s="16">
        <v>-0.421999954345974</v>
      </c>
      <c r="L3" s="16">
        <v>0</v>
      </c>
      <c r="M3" s="16">
        <v>-0.424781864658015</v>
      </c>
      <c r="N3" s="16">
        <v>2.32962945717979</v>
      </c>
      <c r="O3" s="16">
        <v>0.133756176136351</v>
      </c>
      <c r="P3" s="16">
        <v>3.42484227536055</v>
      </c>
      <c r="Q3" s="16">
        <v>-0.439265700674938</v>
      </c>
      <c r="R3" s="16">
        <v>4.52884187388654</v>
      </c>
      <c r="S3" s="16">
        <v>-0.0887440687669126</v>
      </c>
      <c r="T3" s="16">
        <v>75.2020800772286</v>
      </c>
      <c r="U3" s="16">
        <v>0.214575789595163</v>
      </c>
      <c r="V3" s="16">
        <v>2.90029808874582</v>
      </c>
      <c r="W3" s="16">
        <v>-0.261555675592998</v>
      </c>
      <c r="X3" s="16">
        <v>1.5248126607225</v>
      </c>
      <c r="Y3" s="16">
        <v>-0.239504820326585</v>
      </c>
      <c r="Z3" s="16">
        <v>25.5411153940446</v>
      </c>
      <c r="AA3" s="16">
        <v>0.633186289667735</v>
      </c>
      <c r="AB3" s="16">
        <v>3.73621007508901</v>
      </c>
      <c r="AC3" s="16">
        <v>-0.202338879488597</v>
      </c>
      <c r="AD3" s="16">
        <v>75.1977492864565</v>
      </c>
      <c r="AE3" s="16">
        <v>0.8674276507002</v>
      </c>
      <c r="AF3" s="16">
        <v>923.753312050032</v>
      </c>
      <c r="AG3" s="16">
        <v>1.07510127888181</v>
      </c>
      <c r="AH3" s="16">
        <v>237.533377984471</v>
      </c>
      <c r="AI3" s="23">
        <v>-0.0222117736924547</v>
      </c>
      <c r="AJ3" s="24">
        <v>68</v>
      </c>
      <c r="AK3" s="29">
        <v>1</v>
      </c>
      <c r="AL3" s="14">
        <v>1</v>
      </c>
      <c r="AM3" s="29">
        <v>2</v>
      </c>
      <c r="AN3" s="30">
        <v>52.5</v>
      </c>
      <c r="AO3" s="29">
        <v>2</v>
      </c>
      <c r="AP3" s="35">
        <v>68.75</v>
      </c>
      <c r="AQ3" s="35">
        <v>36.6666666666667</v>
      </c>
      <c r="AR3" s="35">
        <v>80</v>
      </c>
      <c r="AS3" s="35">
        <v>21</v>
      </c>
      <c r="AT3" s="35">
        <v>32</v>
      </c>
      <c r="AU3" s="35">
        <v>23</v>
      </c>
      <c r="AV3" s="35">
        <v>54.3333333333333</v>
      </c>
      <c r="AW3" s="35">
        <v>59.0277777777778</v>
      </c>
      <c r="AX3" s="35">
        <v>16.6666666666667</v>
      </c>
      <c r="AY3" s="35">
        <v>46.1111111111111</v>
      </c>
      <c r="AZ3" s="35">
        <v>47.7777777777778</v>
      </c>
      <c r="BA3" s="29">
        <v>4</v>
      </c>
      <c r="BB3" s="29">
        <v>0</v>
      </c>
      <c r="BC3" s="29">
        <v>1</v>
      </c>
      <c r="BD3" s="36">
        <v>0</v>
      </c>
      <c r="BE3" s="38">
        <v>1721</v>
      </c>
      <c r="BF3" s="36">
        <f t="shared" ref="BF3:BF66" si="0">IF(BE3&gt;730,0,IF(BD3=1,1,0))</f>
        <v>0</v>
      </c>
    </row>
    <row r="4" spans="1:58">
      <c r="A4" s="17" t="s">
        <v>76</v>
      </c>
      <c r="B4" s="17" t="s">
        <v>76</v>
      </c>
      <c r="C4" s="18" t="s">
        <v>73</v>
      </c>
      <c r="D4" s="19">
        <v>54.5441925372584</v>
      </c>
      <c r="E4" s="19">
        <v>0.457093365776014</v>
      </c>
      <c r="F4" s="19">
        <v>18.3784217745506</v>
      </c>
      <c r="G4" s="19">
        <v>-0.0396536767182161</v>
      </c>
      <c r="H4" s="19">
        <v>54.0081211411214</v>
      </c>
      <c r="I4" s="19">
        <v>0.146037701607463</v>
      </c>
      <c r="J4" s="19">
        <v>46.4940411586332</v>
      </c>
      <c r="K4" s="19">
        <v>0.932003174933934</v>
      </c>
      <c r="L4" s="19">
        <v>18.9024056043226</v>
      </c>
      <c r="M4" s="19">
        <v>1.10042136967095</v>
      </c>
      <c r="N4" s="19">
        <v>1.3715100559069</v>
      </c>
      <c r="O4" s="19">
        <v>-0.32822844282715</v>
      </c>
      <c r="P4" s="19">
        <v>4.15101693712331</v>
      </c>
      <c r="Q4" s="19">
        <v>-0.386254155857139</v>
      </c>
      <c r="R4" s="19">
        <v>3.56925813785991</v>
      </c>
      <c r="S4" s="19">
        <v>-0.317389687809289</v>
      </c>
      <c r="T4" s="19">
        <v>98.3275245438785</v>
      </c>
      <c r="U4" s="19">
        <v>0.440927631665466</v>
      </c>
      <c r="V4" s="19">
        <v>25.0499698514602</v>
      </c>
      <c r="W4" s="19">
        <v>0.0859004621784439</v>
      </c>
      <c r="X4" s="19">
        <v>2.98868275093074</v>
      </c>
      <c r="Y4" s="19">
        <v>-0.202634053777839</v>
      </c>
      <c r="Z4" s="19">
        <v>22.385352204941</v>
      </c>
      <c r="AA4" s="19">
        <v>0.34129528789076</v>
      </c>
      <c r="AB4" s="19">
        <v>4.83253469007898</v>
      </c>
      <c r="AC4" s="19">
        <v>-0.139427472993754</v>
      </c>
      <c r="AD4" s="19">
        <v>51.9589203543853</v>
      </c>
      <c r="AE4" s="19">
        <v>0.0125703994321448</v>
      </c>
      <c r="AF4" s="19">
        <v>490.187226018317</v>
      </c>
      <c r="AG4" s="19">
        <v>-0.227038520794387</v>
      </c>
      <c r="AH4" s="25">
        <v>130.466593637683</v>
      </c>
      <c r="AI4" s="23">
        <v>-0.470424111266932</v>
      </c>
      <c r="AJ4" s="24">
        <v>78</v>
      </c>
      <c r="AK4" s="29">
        <v>1</v>
      </c>
      <c r="AL4" s="14">
        <v>1</v>
      </c>
      <c r="AM4" s="29">
        <v>1</v>
      </c>
      <c r="AN4" s="30">
        <v>0</v>
      </c>
      <c r="AO4" s="29">
        <v>3</v>
      </c>
      <c r="AP4" s="35">
        <v>67.5</v>
      </c>
      <c r="AQ4" s="35">
        <v>63.3333333333333</v>
      </c>
      <c r="AR4" s="35">
        <v>63.3333333333333</v>
      </c>
      <c r="AS4" s="35">
        <v>9</v>
      </c>
      <c r="AT4" s="35">
        <v>4</v>
      </c>
      <c r="AU4" s="35">
        <v>22</v>
      </c>
      <c r="AV4" s="35">
        <v>39.6666666666667</v>
      </c>
      <c r="AW4" s="35">
        <v>31.25</v>
      </c>
      <c r="AX4" s="35">
        <v>50</v>
      </c>
      <c r="AY4" s="35">
        <v>57.5641025641026</v>
      </c>
      <c r="AZ4" s="35">
        <v>45.679012345679</v>
      </c>
      <c r="BA4" s="29">
        <v>4</v>
      </c>
      <c r="BB4" s="29">
        <v>1</v>
      </c>
      <c r="BC4" s="29">
        <v>0</v>
      </c>
      <c r="BD4" s="36">
        <v>1</v>
      </c>
      <c r="BE4" s="38">
        <v>48</v>
      </c>
      <c r="BF4" s="36">
        <f t="shared" si="0"/>
        <v>1</v>
      </c>
    </row>
    <row r="5" spans="1:58">
      <c r="A5" s="17" t="s">
        <v>77</v>
      </c>
      <c r="B5" s="17" t="s">
        <v>77</v>
      </c>
      <c r="C5" s="18" t="s">
        <v>73</v>
      </c>
      <c r="D5" s="19">
        <v>132.672167214369</v>
      </c>
      <c r="E5" s="19">
        <v>2.33941568663931</v>
      </c>
      <c r="F5" s="19">
        <v>27.472304751219</v>
      </c>
      <c r="G5" s="19">
        <v>0.173103228316624</v>
      </c>
      <c r="H5" s="19">
        <v>81.8217896233391</v>
      </c>
      <c r="I5" s="19">
        <v>1.11734652204809</v>
      </c>
      <c r="J5" s="19">
        <v>6.88980129171608</v>
      </c>
      <c r="K5" s="19">
        <v>-0.22135461837117</v>
      </c>
      <c r="L5" s="19">
        <v>3.9521580908798</v>
      </c>
      <c r="M5" s="19">
        <v>-0.105888892569277</v>
      </c>
      <c r="N5" s="19">
        <v>4.5598751818813</v>
      </c>
      <c r="O5" s="19">
        <v>1.20913281494814</v>
      </c>
      <c r="P5" s="19">
        <v>9.68851664820141</v>
      </c>
      <c r="Q5" s="19">
        <v>0.0179893816408252</v>
      </c>
      <c r="R5" s="19">
        <v>7.29123897150507</v>
      </c>
      <c r="S5" s="19">
        <v>0.569468415159893</v>
      </c>
      <c r="T5" s="19">
        <v>20.630443358085</v>
      </c>
      <c r="U5" s="19">
        <v>-0.319571370861946</v>
      </c>
      <c r="V5" s="19">
        <v>20.3222547692434</v>
      </c>
      <c r="W5" s="19">
        <v>0.0117380257979626</v>
      </c>
      <c r="X5" s="19">
        <v>4.31361095452379</v>
      </c>
      <c r="Y5" s="19">
        <v>-0.169262842209756</v>
      </c>
      <c r="Z5" s="19">
        <v>28.1799525028043</v>
      </c>
      <c r="AA5" s="19">
        <v>0.877264428946911</v>
      </c>
      <c r="AB5" s="19">
        <v>9.32180955853132</v>
      </c>
      <c r="AC5" s="19">
        <v>0.118184727128991</v>
      </c>
      <c r="AD5" s="19">
        <v>85.4747497694845</v>
      </c>
      <c r="AE5" s="19">
        <v>1.24547460004873</v>
      </c>
      <c r="AF5" s="19">
        <v>1148.22174664271</v>
      </c>
      <c r="AG5" s="19">
        <v>1.74925290621356</v>
      </c>
      <c r="AH5" s="19">
        <v>34.2247594939177</v>
      </c>
      <c r="AI5" s="23">
        <v>-0.873320095462298</v>
      </c>
      <c r="AJ5" s="24">
        <v>49</v>
      </c>
      <c r="AK5" s="29">
        <v>1</v>
      </c>
      <c r="AL5" s="14">
        <v>1</v>
      </c>
      <c r="AM5" s="29">
        <v>3</v>
      </c>
      <c r="AN5" s="30">
        <v>72</v>
      </c>
      <c r="AO5" s="29">
        <v>3</v>
      </c>
      <c r="AP5" s="35">
        <v>95</v>
      </c>
      <c r="AQ5" s="35">
        <v>86.6666666666667</v>
      </c>
      <c r="AR5" s="35">
        <v>100</v>
      </c>
      <c r="AS5" s="35">
        <v>0</v>
      </c>
      <c r="AT5" s="35">
        <v>0</v>
      </c>
      <c r="AU5" s="35">
        <v>29</v>
      </c>
      <c r="AV5" s="35">
        <v>0</v>
      </c>
      <c r="AW5" s="35">
        <v>68.75</v>
      </c>
      <c r="AX5" s="35">
        <v>0</v>
      </c>
      <c r="AY5" s="35">
        <v>19.2307692307692</v>
      </c>
      <c r="AZ5" s="35">
        <v>94.4444444444444</v>
      </c>
      <c r="BA5" s="29">
        <v>4</v>
      </c>
      <c r="BB5" s="29">
        <v>0</v>
      </c>
      <c r="BC5" s="29">
        <v>1</v>
      </c>
      <c r="BD5" s="36">
        <v>1</v>
      </c>
      <c r="BE5" s="38">
        <v>131</v>
      </c>
      <c r="BF5" s="36">
        <f t="shared" si="0"/>
        <v>1</v>
      </c>
    </row>
    <row r="6" spans="1:58">
      <c r="A6" s="14" t="s">
        <v>78</v>
      </c>
      <c r="B6" s="14" t="s">
        <v>78</v>
      </c>
      <c r="C6" s="15" t="s">
        <v>73</v>
      </c>
      <c r="D6" s="16">
        <v>28.0098759135678</v>
      </c>
      <c r="E6" s="16">
        <v>-0.182192839402676</v>
      </c>
      <c r="F6" s="16">
        <v>13.6268823106814</v>
      </c>
      <c r="G6" s="16">
        <v>-0.150818822902456</v>
      </c>
      <c r="H6" s="16">
        <v>66.1954367725338</v>
      </c>
      <c r="I6" s="16">
        <v>0.571643089758724</v>
      </c>
      <c r="J6" s="16">
        <v>5.43646985560932</v>
      </c>
      <c r="K6" s="16">
        <v>-0.263678650942472</v>
      </c>
      <c r="L6" s="16">
        <v>0.917137173459307</v>
      </c>
      <c r="M6" s="16">
        <v>-0.350779612639702</v>
      </c>
      <c r="N6" s="16">
        <v>3.03916986918766</v>
      </c>
      <c r="O6" s="16">
        <v>0.475881339706959</v>
      </c>
      <c r="P6" s="16">
        <v>2.41625519457819</v>
      </c>
      <c r="Q6" s="16">
        <v>-0.512893661069147</v>
      </c>
      <c r="R6" s="16">
        <v>5.44381605902982</v>
      </c>
      <c r="S6" s="16">
        <v>0.129272172146192</v>
      </c>
      <c r="T6" s="16">
        <v>10.6262886798423</v>
      </c>
      <c r="U6" s="16">
        <v>-0.417492033232009</v>
      </c>
      <c r="V6" s="16">
        <v>17.139067530947</v>
      </c>
      <c r="W6" s="16">
        <v>-0.0381958041689277</v>
      </c>
      <c r="X6" s="16">
        <v>3.98361567067344</v>
      </c>
      <c r="Y6" s="16">
        <v>-0.177574494421533</v>
      </c>
      <c r="Z6" s="16">
        <v>39.6070053685654</v>
      </c>
      <c r="AA6" s="16">
        <v>1.93420492431181</v>
      </c>
      <c r="AB6" s="16">
        <v>5.94105674107146</v>
      </c>
      <c r="AC6" s="16">
        <v>-0.0758161297793881</v>
      </c>
      <c r="AD6" s="16">
        <v>71.542904256339</v>
      </c>
      <c r="AE6" s="16">
        <v>0.73298151378901</v>
      </c>
      <c r="AF6" s="16">
        <v>1113.45063018405</v>
      </c>
      <c r="AG6" s="16">
        <v>1.64482394814075</v>
      </c>
      <c r="AH6" s="16">
        <v>142.546211807173</v>
      </c>
      <c r="AI6" s="23">
        <v>-0.419855357103011</v>
      </c>
      <c r="AJ6" s="24">
        <v>65</v>
      </c>
      <c r="AK6" s="29">
        <v>2</v>
      </c>
      <c r="AL6" s="14">
        <v>1</v>
      </c>
      <c r="AM6" s="29">
        <v>2</v>
      </c>
      <c r="AN6" s="30">
        <v>42</v>
      </c>
      <c r="AO6" s="29">
        <v>1</v>
      </c>
      <c r="AP6" s="35">
        <v>37</v>
      </c>
      <c r="AQ6" s="35">
        <v>11</v>
      </c>
      <c r="AR6" s="35">
        <v>33.6666666666667</v>
      </c>
      <c r="AS6" s="35">
        <v>2</v>
      </c>
      <c r="AT6" s="35">
        <v>10</v>
      </c>
      <c r="AU6" s="35">
        <v>18</v>
      </c>
      <c r="AV6" s="35">
        <v>82.6666666666667</v>
      </c>
      <c r="AW6" s="35">
        <v>27.0833333333333</v>
      </c>
      <c r="AX6" s="35">
        <v>75</v>
      </c>
      <c r="AY6" s="35">
        <v>76.6666666666667</v>
      </c>
      <c r="AZ6" s="35">
        <v>17.4382716049383</v>
      </c>
      <c r="BA6" s="29" t="s">
        <v>79</v>
      </c>
      <c r="BB6" s="29">
        <v>0</v>
      </c>
      <c r="BC6" s="29">
        <v>0</v>
      </c>
      <c r="BD6" s="36">
        <f>0</f>
        <v>0</v>
      </c>
      <c r="BE6" s="38">
        <v>1679</v>
      </c>
      <c r="BF6" s="36">
        <f t="shared" si="0"/>
        <v>0</v>
      </c>
    </row>
    <row r="7" spans="1:58">
      <c r="A7" s="14" t="s">
        <v>80</v>
      </c>
      <c r="B7" s="14" t="s">
        <v>80</v>
      </c>
      <c r="C7" s="15" t="s">
        <v>73</v>
      </c>
      <c r="D7" s="16">
        <v>66.254845366816</v>
      </c>
      <c r="E7" s="16">
        <v>0.739235880081012</v>
      </c>
      <c r="F7" s="16">
        <v>19.5412799528547</v>
      </c>
      <c r="G7" s="16">
        <v>-0.0124479047014454</v>
      </c>
      <c r="H7" s="16">
        <v>54.0081211411214</v>
      </c>
      <c r="I7" s="16">
        <v>0.146037701607463</v>
      </c>
      <c r="J7" s="16">
        <v>2.12302267686387</v>
      </c>
      <c r="K7" s="16">
        <v>-0.360173120705119</v>
      </c>
      <c r="L7" s="16">
        <v>1.37817234352511</v>
      </c>
      <c r="M7" s="16">
        <v>-0.313579462180389</v>
      </c>
      <c r="N7" s="16">
        <v>1.97228027004062</v>
      </c>
      <c r="O7" s="16">
        <v>-0.0385499350206507</v>
      </c>
      <c r="P7" s="16">
        <v>17.1286366567228</v>
      </c>
      <c r="Q7" s="16">
        <v>0.561126282512737</v>
      </c>
      <c r="R7" s="16">
        <v>3.90542092741533</v>
      </c>
      <c r="S7" s="16">
        <v>-0.237290217350175</v>
      </c>
      <c r="T7" s="16">
        <v>18.5447932042284</v>
      </c>
      <c r="U7" s="16">
        <v>-0.339985713813082</v>
      </c>
      <c r="V7" s="16">
        <v>7.52629781681531</v>
      </c>
      <c r="W7" s="16">
        <v>-0.188988821507492</v>
      </c>
      <c r="X7" s="16">
        <v>2.54287084473613</v>
      </c>
      <c r="Y7" s="16">
        <v>-0.213862800664535</v>
      </c>
      <c r="Z7" s="16">
        <v>12.9495139235266</v>
      </c>
      <c r="AA7" s="16">
        <v>-0.531468643850874</v>
      </c>
      <c r="AB7" s="16">
        <v>2.50246814675155</v>
      </c>
      <c r="AC7" s="16">
        <v>-0.273135830411823</v>
      </c>
      <c r="AD7" s="16">
        <v>51.5988202612285</v>
      </c>
      <c r="AE7" s="16">
        <v>-0.000676144820029716</v>
      </c>
      <c r="AF7" s="16">
        <v>879.227028481963</v>
      </c>
      <c r="AG7" s="16">
        <v>0.941374385027362</v>
      </c>
      <c r="AH7" s="20">
        <v>80.3314621555249</v>
      </c>
      <c r="AI7" s="23">
        <v>-0.680304183908676</v>
      </c>
      <c r="AJ7" s="24">
        <v>31</v>
      </c>
      <c r="AK7" s="29">
        <v>1</v>
      </c>
      <c r="AL7" s="14">
        <v>1</v>
      </c>
      <c r="AM7" s="29">
        <v>2</v>
      </c>
      <c r="AN7" s="31">
        <v>5</v>
      </c>
      <c r="AO7" s="29">
        <v>1</v>
      </c>
      <c r="AP7" s="35">
        <v>58.75</v>
      </c>
      <c r="AQ7" s="35">
        <v>50</v>
      </c>
      <c r="AR7" s="35">
        <v>66.6666666666667</v>
      </c>
      <c r="AS7" s="35">
        <v>17</v>
      </c>
      <c r="AT7" s="35">
        <v>36</v>
      </c>
      <c r="AU7" s="35">
        <v>26</v>
      </c>
      <c r="AV7" s="35">
        <v>8</v>
      </c>
      <c r="AW7" s="35">
        <v>75</v>
      </c>
      <c r="AX7" s="35">
        <v>58.3333333333333</v>
      </c>
      <c r="AY7" s="35">
        <v>18.4615384615385</v>
      </c>
      <c r="AZ7" s="35">
        <v>71.7592592592593</v>
      </c>
      <c r="BA7" s="29">
        <v>5</v>
      </c>
      <c r="BB7" s="29">
        <v>1</v>
      </c>
      <c r="BC7" s="29">
        <v>1</v>
      </c>
      <c r="BD7" s="36">
        <v>1</v>
      </c>
      <c r="BE7" s="38">
        <v>318</v>
      </c>
      <c r="BF7" s="36">
        <f t="shared" si="0"/>
        <v>1</v>
      </c>
    </row>
    <row r="8" spans="1:58">
      <c r="A8" s="14" t="s">
        <v>81</v>
      </c>
      <c r="B8" s="14" t="s">
        <v>81</v>
      </c>
      <c r="C8" s="15" t="s">
        <v>73</v>
      </c>
      <c r="D8" s="16">
        <v>76.9303672880482</v>
      </c>
      <c r="E8" s="16">
        <v>0.996439183791995</v>
      </c>
      <c r="F8" s="16">
        <v>7.36246815559763</v>
      </c>
      <c r="G8" s="16">
        <v>-0.297378589606243</v>
      </c>
      <c r="H8" s="16">
        <v>21.1084127845241</v>
      </c>
      <c r="I8" s="16">
        <v>-1.0028857831575</v>
      </c>
      <c r="J8" s="16">
        <v>1.20921506243972</v>
      </c>
      <c r="K8" s="16">
        <v>-0.386785098039345</v>
      </c>
      <c r="L8" s="16">
        <v>0</v>
      </c>
      <c r="M8" s="16">
        <v>-0.424781864658015</v>
      </c>
      <c r="N8" s="16">
        <v>1.00678756455961</v>
      </c>
      <c r="O8" s="16">
        <v>-0.50408980308</v>
      </c>
      <c r="P8" s="16">
        <v>1.51269666647993</v>
      </c>
      <c r="Q8" s="16">
        <v>-0.578854422205473</v>
      </c>
      <c r="R8" s="16">
        <v>1.48141630857746</v>
      </c>
      <c r="S8" s="16">
        <v>-0.814871949748757</v>
      </c>
      <c r="T8" s="16">
        <v>3.54680009559625</v>
      </c>
      <c r="U8" s="16">
        <v>-0.486786064932491</v>
      </c>
      <c r="V8" s="16">
        <v>0</v>
      </c>
      <c r="W8" s="16">
        <v>-0.307051897076419</v>
      </c>
      <c r="X8" s="16">
        <v>0.200801553209895</v>
      </c>
      <c r="Y8" s="16">
        <v>-0.27285293282617</v>
      </c>
      <c r="Z8" s="16">
        <v>9.54229141252327</v>
      </c>
      <c r="AA8" s="16">
        <v>-0.846618270872261</v>
      </c>
      <c r="AB8" s="16">
        <v>1.00427802603513</v>
      </c>
      <c r="AC8" s="16">
        <v>-0.359107855852309</v>
      </c>
      <c r="AD8" s="16">
        <v>57.3720293839036</v>
      </c>
      <c r="AE8" s="16">
        <v>0.211695558419916</v>
      </c>
      <c r="AF8" s="16">
        <v>722.23410028118</v>
      </c>
      <c r="AG8" s="16">
        <v>0.469873622712218</v>
      </c>
      <c r="AH8" s="16">
        <v>169.803186804255</v>
      </c>
      <c r="AI8" s="23">
        <v>-0.30574982425091</v>
      </c>
      <c r="AJ8" s="24">
        <v>66</v>
      </c>
      <c r="AK8" s="29">
        <v>1</v>
      </c>
      <c r="AL8" s="14">
        <v>1</v>
      </c>
      <c r="AM8" s="29">
        <v>2</v>
      </c>
      <c r="AN8" s="30">
        <v>36</v>
      </c>
      <c r="AO8" s="29">
        <v>3</v>
      </c>
      <c r="AP8" s="35">
        <v>10.75</v>
      </c>
      <c r="AQ8" s="35">
        <v>0</v>
      </c>
      <c r="AR8" s="35">
        <v>20.6666666666667</v>
      </c>
      <c r="AS8" s="35">
        <v>0</v>
      </c>
      <c r="AT8" s="35">
        <v>0</v>
      </c>
      <c r="AU8" s="35">
        <v>5</v>
      </c>
      <c r="AV8" s="35">
        <v>98.6666666666667</v>
      </c>
      <c r="AW8" s="35">
        <v>6.25</v>
      </c>
      <c r="AX8" s="35">
        <v>91.6666666666667</v>
      </c>
      <c r="AY8" s="35">
        <v>95.6410256410256</v>
      </c>
      <c r="AZ8" s="35">
        <v>10.8024691358025</v>
      </c>
      <c r="BA8" s="29" t="s">
        <v>82</v>
      </c>
      <c r="BB8" s="29">
        <v>0</v>
      </c>
      <c r="BC8" s="29">
        <v>1</v>
      </c>
      <c r="BD8" s="36">
        <v>1</v>
      </c>
      <c r="BE8" s="38">
        <v>278</v>
      </c>
      <c r="BF8" s="36">
        <f t="shared" si="0"/>
        <v>1</v>
      </c>
    </row>
    <row r="9" spans="1:58">
      <c r="A9" s="14" t="s">
        <v>83</v>
      </c>
      <c r="B9" s="14" t="s">
        <v>83</v>
      </c>
      <c r="C9" s="15" t="s">
        <v>73</v>
      </c>
      <c r="D9" s="16">
        <v>16.56190680998</v>
      </c>
      <c r="E9" s="16">
        <v>-0.458006565040568</v>
      </c>
      <c r="F9" s="16">
        <v>0.04367910942995</v>
      </c>
      <c r="G9" s="16">
        <v>-0.468606096058716</v>
      </c>
      <c r="H9" s="16">
        <v>37.5928978456665</v>
      </c>
      <c r="I9" s="16">
        <v>-0.427214661221681</v>
      </c>
      <c r="J9" s="16">
        <v>0</v>
      </c>
      <c r="K9" s="16">
        <v>-0.421999954345974</v>
      </c>
      <c r="L9" s="16">
        <v>0</v>
      </c>
      <c r="M9" s="16">
        <v>-0.424781864658015</v>
      </c>
      <c r="N9" s="16">
        <v>0.574949754740692</v>
      </c>
      <c r="O9" s="16">
        <v>-0.71231272994922</v>
      </c>
      <c r="P9" s="16">
        <v>1.51269666647993</v>
      </c>
      <c r="Q9" s="16">
        <v>-0.578854422205473</v>
      </c>
      <c r="R9" s="16">
        <v>1.10814117453825</v>
      </c>
      <c r="S9" s="16">
        <v>-0.903814395197991</v>
      </c>
      <c r="T9" s="16">
        <v>0.977793330378181</v>
      </c>
      <c r="U9" s="16">
        <v>-0.511931502220704</v>
      </c>
      <c r="V9" s="16">
        <v>0</v>
      </c>
      <c r="W9" s="16">
        <v>-0.307051897076419</v>
      </c>
      <c r="X9" s="16">
        <v>0.061249032563186</v>
      </c>
      <c r="Y9" s="16">
        <v>-0.276367867959056</v>
      </c>
      <c r="Z9" s="16">
        <v>9.54229141252327</v>
      </c>
      <c r="AA9" s="16">
        <v>-0.846618270872261</v>
      </c>
      <c r="AB9" s="16">
        <v>13.0946614591003</v>
      </c>
      <c r="AC9" s="16">
        <v>0.334685767346634</v>
      </c>
      <c r="AD9" s="16">
        <v>23.1387435819311</v>
      </c>
      <c r="AE9" s="16">
        <v>-1.0476007980398</v>
      </c>
      <c r="AF9" s="16">
        <v>322.446160135705</v>
      </c>
      <c r="AG9" s="16">
        <v>-0.730819432085217</v>
      </c>
      <c r="AH9" s="20">
        <v>142.546211807173</v>
      </c>
      <c r="AI9" s="23">
        <v>-0.419855357103011</v>
      </c>
      <c r="AJ9" s="24">
        <v>58</v>
      </c>
      <c r="AK9" s="29">
        <v>2</v>
      </c>
      <c r="AL9" s="14">
        <v>5</v>
      </c>
      <c r="AM9" s="29">
        <v>1</v>
      </c>
      <c r="AN9" s="30">
        <v>0</v>
      </c>
      <c r="AO9" s="29">
        <v>1</v>
      </c>
      <c r="AP9" s="35">
        <v>46.625</v>
      </c>
      <c r="AQ9" s="35">
        <v>39.6666666666667</v>
      </c>
      <c r="AR9" s="35">
        <v>43.6666666666667</v>
      </c>
      <c r="AS9" s="35">
        <v>15</v>
      </c>
      <c r="AT9" s="35">
        <v>23</v>
      </c>
      <c r="AU9" s="35">
        <v>19</v>
      </c>
      <c r="AV9" s="35">
        <v>74</v>
      </c>
      <c r="AW9" s="35">
        <v>11.1111111111111</v>
      </c>
      <c r="AX9" s="35">
        <v>50</v>
      </c>
      <c r="AY9" s="35">
        <v>83.1623931623932</v>
      </c>
      <c r="AZ9" s="35">
        <v>27.4382716049383</v>
      </c>
      <c r="BA9" s="29">
        <v>4</v>
      </c>
      <c r="BB9" s="29">
        <v>1</v>
      </c>
      <c r="BC9" s="29">
        <v>1</v>
      </c>
      <c r="BD9" s="36">
        <f>0</f>
        <v>0</v>
      </c>
      <c r="BE9" s="38">
        <v>1765</v>
      </c>
      <c r="BF9" s="36">
        <f t="shared" si="0"/>
        <v>0</v>
      </c>
    </row>
    <row r="10" spans="1:58">
      <c r="A10" s="14" t="s">
        <v>84</v>
      </c>
      <c r="B10" s="14" t="s">
        <v>84</v>
      </c>
      <c r="C10" s="15" t="s">
        <v>73</v>
      </c>
      <c r="D10" s="16">
        <v>36.0614038639733</v>
      </c>
      <c r="E10" s="16">
        <v>0.0117910804511063</v>
      </c>
      <c r="F10" s="16">
        <v>18.3784217745506</v>
      </c>
      <c r="G10" s="16">
        <v>-0.0396536767182161</v>
      </c>
      <c r="H10" s="16">
        <v>31.8089522773548</v>
      </c>
      <c r="I10" s="16">
        <v>-0.629201585421968</v>
      </c>
      <c r="J10" s="16">
        <v>12.3218003743872</v>
      </c>
      <c r="K10" s="16">
        <v>-0.0631635131693677</v>
      </c>
      <c r="L10" s="16">
        <v>4.56739850279114</v>
      </c>
      <c r="M10" s="16">
        <v>-0.0562461811716087</v>
      </c>
      <c r="N10" s="16">
        <v>1.3715100559069</v>
      </c>
      <c r="O10" s="16">
        <v>-0.32822844282715</v>
      </c>
      <c r="P10" s="16">
        <v>3.20112336491899</v>
      </c>
      <c r="Q10" s="16">
        <v>-0.455597425908469</v>
      </c>
      <c r="R10" s="16">
        <v>3.20855499876738</v>
      </c>
      <c r="S10" s="16">
        <v>-0.403336530624527</v>
      </c>
      <c r="T10" s="16">
        <v>178.282085142866</v>
      </c>
      <c r="U10" s="16">
        <v>1.22352284187222</v>
      </c>
      <c r="V10" s="16">
        <v>14.8031588703807</v>
      </c>
      <c r="W10" s="16">
        <v>-0.0748385955421831</v>
      </c>
      <c r="X10" s="16">
        <v>4.09368302357409</v>
      </c>
      <c r="Y10" s="16">
        <v>-0.174802207658805</v>
      </c>
      <c r="Z10" s="16">
        <v>14.5801608700928</v>
      </c>
      <c r="AA10" s="16">
        <v>-0.380642633704982</v>
      </c>
      <c r="AB10" s="16">
        <v>4.99020605238949</v>
      </c>
      <c r="AC10" s="16">
        <v>-0.130379671793922</v>
      </c>
      <c r="AD10" s="16">
        <v>37.9908055837984</v>
      </c>
      <c r="AE10" s="16">
        <v>-0.50125687788395</v>
      </c>
      <c r="AF10" s="16">
        <v>385.384988371983</v>
      </c>
      <c r="AG10" s="16">
        <v>-0.541793685303338</v>
      </c>
      <c r="AH10" s="16">
        <v>272.582797659352</v>
      </c>
      <c r="AI10" s="23">
        <v>0.12451517266118</v>
      </c>
      <c r="AJ10" s="24">
        <v>72</v>
      </c>
      <c r="AK10" s="29">
        <v>1</v>
      </c>
      <c r="AL10" s="14">
        <v>1</v>
      </c>
      <c r="AM10" s="29">
        <v>2</v>
      </c>
      <c r="AN10" s="30">
        <v>69</v>
      </c>
      <c r="AO10" s="29">
        <v>3</v>
      </c>
      <c r="AP10" s="35">
        <v>8</v>
      </c>
      <c r="AQ10" s="35">
        <v>3</v>
      </c>
      <c r="AR10" s="35">
        <v>8.33333333333333</v>
      </c>
      <c r="AS10" s="35">
        <v>5</v>
      </c>
      <c r="AT10" s="35">
        <v>34</v>
      </c>
      <c r="AU10" s="35">
        <v>21</v>
      </c>
      <c r="AV10" s="35">
        <v>78.3333333333333</v>
      </c>
      <c r="AW10" s="35">
        <v>38.1944444444444</v>
      </c>
      <c r="AX10" s="35">
        <v>0</v>
      </c>
      <c r="AY10" s="35">
        <v>68.1623931623932</v>
      </c>
      <c r="AZ10" s="35">
        <v>49.9691358024691</v>
      </c>
      <c r="BA10" s="29" t="s">
        <v>82</v>
      </c>
      <c r="BB10" s="29">
        <v>0</v>
      </c>
      <c r="BC10" s="29">
        <v>1</v>
      </c>
      <c r="BD10" s="36">
        <f>0</f>
        <v>0</v>
      </c>
      <c r="BE10" s="38">
        <v>1758</v>
      </c>
      <c r="BF10" s="36">
        <f t="shared" si="0"/>
        <v>0</v>
      </c>
    </row>
    <row r="11" spans="1:58">
      <c r="A11" s="14" t="s">
        <v>85</v>
      </c>
      <c r="B11" s="14" t="s">
        <v>85</v>
      </c>
      <c r="C11" s="15" t="s">
        <v>73</v>
      </c>
      <c r="D11" s="16">
        <v>65.7114961730311</v>
      </c>
      <c r="E11" s="16">
        <v>0.726145072086676</v>
      </c>
      <c r="F11" s="16">
        <v>0.04367910942995</v>
      </c>
      <c r="G11" s="16">
        <v>-0.468606096058716</v>
      </c>
      <c r="H11" s="16">
        <v>34.8396534175459</v>
      </c>
      <c r="I11" s="16">
        <v>-0.52336345222249</v>
      </c>
      <c r="J11" s="16">
        <v>0</v>
      </c>
      <c r="K11" s="16">
        <v>-0.421999954345974</v>
      </c>
      <c r="L11" s="16">
        <v>0</v>
      </c>
      <c r="M11" s="16">
        <v>-0.424781864658015</v>
      </c>
      <c r="N11" s="16">
        <v>0.512447809816715</v>
      </c>
      <c r="O11" s="16">
        <v>-0.742449826820257</v>
      </c>
      <c r="P11" s="16">
        <v>2.19123503890188</v>
      </c>
      <c r="Q11" s="16">
        <v>-0.52932037862851</v>
      </c>
      <c r="R11" s="16">
        <v>6.10112290494559</v>
      </c>
      <c r="S11" s="16">
        <v>0.285892511823388</v>
      </c>
      <c r="T11" s="16">
        <v>10.813873405732</v>
      </c>
      <c r="U11" s="16">
        <v>-0.415655954002889</v>
      </c>
      <c r="V11" s="16">
        <v>7.52629781681531</v>
      </c>
      <c r="W11" s="16">
        <v>-0.188988821507492</v>
      </c>
      <c r="X11" s="16">
        <v>0.200801553209895</v>
      </c>
      <c r="Y11" s="16">
        <v>-0.27285293282617</v>
      </c>
      <c r="Z11" s="16">
        <v>19.8970394314891</v>
      </c>
      <c r="AA11" s="16">
        <v>0.111139834311359</v>
      </c>
      <c r="AB11" s="16">
        <v>2.50246814675155</v>
      </c>
      <c r="AC11" s="16">
        <v>-0.273135830411823</v>
      </c>
      <c r="AD11" s="16">
        <v>45.4924175398698</v>
      </c>
      <c r="AE11" s="16">
        <v>-0.225304617312134</v>
      </c>
      <c r="AF11" s="16">
        <v>294.672564618076</v>
      </c>
      <c r="AG11" s="16">
        <v>-0.814232561637439</v>
      </c>
      <c r="AH11" s="20">
        <v>292.653371023155</v>
      </c>
      <c r="AI11" s="23">
        <v>0.208536362414228</v>
      </c>
      <c r="AJ11" s="24">
        <v>88</v>
      </c>
      <c r="AK11" s="29">
        <v>1</v>
      </c>
      <c r="AL11" s="14">
        <v>1</v>
      </c>
      <c r="AM11" s="29">
        <v>2</v>
      </c>
      <c r="AN11" s="30">
        <v>52</v>
      </c>
      <c r="AO11" s="29">
        <v>3</v>
      </c>
      <c r="AP11" s="35">
        <v>38.75</v>
      </c>
      <c r="AQ11" s="35">
        <v>10</v>
      </c>
      <c r="AR11" s="35">
        <v>50</v>
      </c>
      <c r="AS11" s="35">
        <v>4</v>
      </c>
      <c r="AT11" s="35">
        <v>11</v>
      </c>
      <c r="AU11" s="35">
        <v>8</v>
      </c>
      <c r="AV11" s="35">
        <v>75</v>
      </c>
      <c r="AW11" s="35">
        <v>18.75</v>
      </c>
      <c r="AX11" s="35">
        <v>33.3333333333333</v>
      </c>
      <c r="AY11" s="35">
        <v>78.8461538461538</v>
      </c>
      <c r="AZ11" s="35">
        <v>27.3148148148148</v>
      </c>
      <c r="BA11" s="29">
        <v>5</v>
      </c>
      <c r="BB11" s="29">
        <v>0</v>
      </c>
      <c r="BC11" s="29">
        <v>1</v>
      </c>
      <c r="BD11" s="36">
        <v>1</v>
      </c>
      <c r="BE11" s="38">
        <v>997</v>
      </c>
      <c r="BF11" s="36">
        <f t="shared" si="0"/>
        <v>0</v>
      </c>
    </row>
    <row r="12" spans="1:58">
      <c r="A12" s="17" t="s">
        <v>86</v>
      </c>
      <c r="B12" s="17" t="s">
        <v>86</v>
      </c>
      <c r="C12" s="18" t="s">
        <v>73</v>
      </c>
      <c r="D12" s="19">
        <v>3.00129257103687</v>
      </c>
      <c r="E12" s="19">
        <v>-0.784719845041381</v>
      </c>
      <c r="F12" s="19">
        <v>0</v>
      </c>
      <c r="G12" s="19">
        <v>-0.469627995302509</v>
      </c>
      <c r="H12" s="19">
        <v>7.95279208158537</v>
      </c>
      <c r="I12" s="19">
        <v>-1.46230631717679</v>
      </c>
      <c r="J12" s="19">
        <v>0</v>
      </c>
      <c r="K12" s="19">
        <v>-0.421999954345974</v>
      </c>
      <c r="L12" s="19">
        <v>0</v>
      </c>
      <c r="M12" s="19">
        <v>-0.424781864658015</v>
      </c>
      <c r="N12" s="19">
        <v>0</v>
      </c>
      <c r="O12" s="19">
        <v>-0.989541166211084</v>
      </c>
      <c r="P12" s="19">
        <v>19.0283800996522</v>
      </c>
      <c r="Q12" s="19">
        <v>0.699809632359599</v>
      </c>
      <c r="R12" s="19">
        <v>10.8793758777843</v>
      </c>
      <c r="S12" s="19">
        <v>1.42443474414553</v>
      </c>
      <c r="T12" s="19">
        <v>7.25963861246566</v>
      </c>
      <c r="U12" s="19">
        <v>-0.450444802873077</v>
      </c>
      <c r="V12" s="19">
        <v>0</v>
      </c>
      <c r="W12" s="19">
        <v>-0.307051897076419</v>
      </c>
      <c r="X12" s="19">
        <v>0</v>
      </c>
      <c r="Y12" s="19">
        <v>-0.277910558663702</v>
      </c>
      <c r="Z12" s="19">
        <v>9.47105015434154</v>
      </c>
      <c r="AA12" s="19">
        <v>-0.853207701375259</v>
      </c>
      <c r="AB12" s="19">
        <v>5.62322810273499</v>
      </c>
      <c r="AC12" s="19">
        <v>-0.094054383658483</v>
      </c>
      <c r="AD12" s="19">
        <v>17.5389246993856</v>
      </c>
      <c r="AE12" s="19">
        <v>-1.25359421498541</v>
      </c>
      <c r="AF12" s="19">
        <v>177.576612393589</v>
      </c>
      <c r="AG12" s="19">
        <v>-1.16590974462018</v>
      </c>
      <c r="AH12" s="25">
        <v>790.302745329765</v>
      </c>
      <c r="AI12" s="23">
        <v>2.29183970164572</v>
      </c>
      <c r="AJ12" s="24">
        <v>50</v>
      </c>
      <c r="AK12" s="29">
        <v>1</v>
      </c>
      <c r="AL12" s="14">
        <v>1</v>
      </c>
      <c r="AM12" s="29">
        <v>3</v>
      </c>
      <c r="AN12" s="30">
        <v>30</v>
      </c>
      <c r="AO12" s="29">
        <v>2</v>
      </c>
      <c r="AP12" s="35">
        <v>25.125</v>
      </c>
      <c r="AQ12" s="35">
        <v>29.6666666666667</v>
      </c>
      <c r="AR12" s="35">
        <v>20.6666666666667</v>
      </c>
      <c r="AS12" s="35">
        <v>0</v>
      </c>
      <c r="AT12" s="35">
        <v>0</v>
      </c>
      <c r="AU12" s="35">
        <v>12</v>
      </c>
      <c r="AV12" s="35">
        <v>95</v>
      </c>
      <c r="AW12" s="35">
        <v>10.4166666666667</v>
      </c>
      <c r="AX12" s="35">
        <v>83.3333333333333</v>
      </c>
      <c r="AY12" s="35">
        <v>91.6666666666667</v>
      </c>
      <c r="AZ12" s="35">
        <v>19.4444444444444</v>
      </c>
      <c r="BA12" s="29">
        <v>4</v>
      </c>
      <c r="BB12" s="29">
        <v>1</v>
      </c>
      <c r="BC12" s="29">
        <v>1</v>
      </c>
      <c r="BD12" s="36">
        <v>1</v>
      </c>
      <c r="BE12" s="38">
        <v>482</v>
      </c>
      <c r="BF12" s="36">
        <f t="shared" si="0"/>
        <v>1</v>
      </c>
    </row>
    <row r="13" spans="1:58">
      <c r="A13" s="14" t="s">
        <v>87</v>
      </c>
      <c r="B13" s="14" t="s">
        <v>87</v>
      </c>
      <c r="C13" s="15" t="s">
        <v>73</v>
      </c>
      <c r="D13" s="16">
        <v>158.161010523218</v>
      </c>
      <c r="E13" s="16">
        <v>2.95351350360589</v>
      </c>
      <c r="F13" s="16">
        <v>22.9812639885931</v>
      </c>
      <c r="G13" s="16">
        <v>0.0680326071646847</v>
      </c>
      <c r="H13" s="16">
        <v>85.7548666280299</v>
      </c>
      <c r="I13" s="16">
        <v>1.25469742160924</v>
      </c>
      <c r="J13" s="16">
        <v>10.8271421201527</v>
      </c>
      <c r="K13" s="16">
        <v>-0.106691068593785</v>
      </c>
      <c r="L13" s="16">
        <v>1.82561287028406</v>
      </c>
      <c r="M13" s="16">
        <v>-0.277476240565752</v>
      </c>
      <c r="N13" s="16">
        <v>1.25036492024501</v>
      </c>
      <c r="O13" s="16">
        <v>-0.386642028089786</v>
      </c>
      <c r="P13" s="16">
        <v>8.50953695844356</v>
      </c>
      <c r="Q13" s="16">
        <v>-0.068077425635482</v>
      </c>
      <c r="R13" s="16">
        <v>5.15556064766356</v>
      </c>
      <c r="S13" s="16">
        <v>0.0605878723819409</v>
      </c>
      <c r="T13" s="16">
        <v>61.8797602086076</v>
      </c>
      <c r="U13" s="16">
        <v>0.084176927542544</v>
      </c>
      <c r="V13" s="16">
        <v>11.5207044056378</v>
      </c>
      <c r="W13" s="16">
        <v>-0.126329604661789</v>
      </c>
      <c r="X13" s="16">
        <v>8.80621340494571</v>
      </c>
      <c r="Y13" s="16">
        <v>-0.0561068338632347</v>
      </c>
      <c r="Z13" s="16">
        <v>45.1912411188234</v>
      </c>
      <c r="AA13" s="16">
        <v>2.45071648415562</v>
      </c>
      <c r="AB13" s="16">
        <v>1.8957584930192</v>
      </c>
      <c r="AC13" s="16">
        <v>-0.307951210025141</v>
      </c>
      <c r="AD13" s="16">
        <v>148.312483852818</v>
      </c>
      <c r="AE13" s="16">
        <v>3.55700642428182</v>
      </c>
      <c r="AF13" s="16">
        <v>1126.26845759304</v>
      </c>
      <c r="AG13" s="16">
        <v>1.68332004770285</v>
      </c>
      <c r="AH13" s="16">
        <v>959.229739130449</v>
      </c>
      <c r="AI13" s="23">
        <v>2.99901665883903</v>
      </c>
      <c r="AJ13" s="24">
        <v>80</v>
      </c>
      <c r="AK13" s="29">
        <v>1</v>
      </c>
      <c r="AL13" s="14">
        <v>1</v>
      </c>
      <c r="AM13" s="29">
        <v>1</v>
      </c>
      <c r="AN13" s="32">
        <v>0</v>
      </c>
      <c r="AO13" s="29">
        <v>2</v>
      </c>
      <c r="AP13" s="35">
        <v>12.125</v>
      </c>
      <c r="AQ13" s="35">
        <v>4</v>
      </c>
      <c r="AR13" s="35">
        <v>4</v>
      </c>
      <c r="AS13" s="35">
        <v>0</v>
      </c>
      <c r="AT13" s="35">
        <v>0</v>
      </c>
      <c r="AU13" s="35">
        <v>0</v>
      </c>
      <c r="AV13" s="35">
        <v>92.6666666666667</v>
      </c>
      <c r="AW13" s="35">
        <v>12.5</v>
      </c>
      <c r="AX13" s="35">
        <v>91.6666666666667</v>
      </c>
      <c r="AY13" s="35">
        <v>89.4871794871795</v>
      </c>
      <c r="AZ13" s="35">
        <v>20.3703703703704</v>
      </c>
      <c r="BA13" s="29" t="s">
        <v>82</v>
      </c>
      <c r="BB13" s="29">
        <v>0</v>
      </c>
      <c r="BC13" s="29">
        <v>0</v>
      </c>
      <c r="BD13" s="36">
        <v>1</v>
      </c>
      <c r="BE13" s="38">
        <v>592</v>
      </c>
      <c r="BF13" s="36">
        <f t="shared" si="0"/>
        <v>1</v>
      </c>
    </row>
    <row r="14" spans="1:58">
      <c r="A14" s="14" t="s">
        <v>88</v>
      </c>
      <c r="B14" s="14" t="s">
        <v>88</v>
      </c>
      <c r="C14" s="15" t="s">
        <v>73</v>
      </c>
      <c r="D14" s="16">
        <v>143.491892565862</v>
      </c>
      <c r="E14" s="16">
        <v>2.60009325595934</v>
      </c>
      <c r="F14" s="16">
        <v>31.8741412340299</v>
      </c>
      <c r="G14" s="16">
        <v>0.276086861265834</v>
      </c>
      <c r="H14" s="16">
        <v>67.6901647604192</v>
      </c>
      <c r="I14" s="16">
        <v>0.623841974624299</v>
      </c>
      <c r="J14" s="16">
        <v>7.37744685730779</v>
      </c>
      <c r="K14" s="16">
        <v>-0.207153365794784</v>
      </c>
      <c r="L14" s="16">
        <v>1.82561287028406</v>
      </c>
      <c r="M14" s="16">
        <v>-0.277476240565752</v>
      </c>
      <c r="N14" s="16">
        <v>3.50915793493129</v>
      </c>
      <c r="O14" s="16">
        <v>0.702499501474171</v>
      </c>
      <c r="P14" s="16">
        <v>3.20112336491899</v>
      </c>
      <c r="Q14" s="16">
        <v>-0.455597425908469</v>
      </c>
      <c r="R14" s="16">
        <v>6.70834209249139</v>
      </c>
      <c r="S14" s="16">
        <v>0.430578172718088</v>
      </c>
      <c r="T14" s="16">
        <v>5.39875604431686</v>
      </c>
      <c r="U14" s="16">
        <v>-0.46865912077665</v>
      </c>
      <c r="V14" s="16">
        <v>20.3222547692434</v>
      </c>
      <c r="W14" s="16">
        <v>0.0117380257979626</v>
      </c>
      <c r="X14" s="16">
        <v>2.87749571139827</v>
      </c>
      <c r="Y14" s="16">
        <v>-0.20543454229473</v>
      </c>
      <c r="Z14" s="16">
        <v>15.7036877435508</v>
      </c>
      <c r="AA14" s="16">
        <v>-0.276722483501899</v>
      </c>
      <c r="AB14" s="16">
        <v>7.22022568821666</v>
      </c>
      <c r="AC14" s="16">
        <v>-0.00241239833971034</v>
      </c>
      <c r="AD14" s="16">
        <v>62.8062684505979</v>
      </c>
      <c r="AE14" s="16">
        <v>0.411598001217998</v>
      </c>
      <c r="AF14" s="16">
        <v>1483.83593662602</v>
      </c>
      <c r="AG14" s="16">
        <v>2.75721134252306</v>
      </c>
      <c r="AH14" s="20">
        <v>409.659812708216</v>
      </c>
      <c r="AI14" s="23">
        <v>0.698358962942402</v>
      </c>
      <c r="AJ14" s="24">
        <v>80</v>
      </c>
      <c r="AK14" s="29">
        <v>2</v>
      </c>
      <c r="AL14" s="14">
        <v>2</v>
      </c>
      <c r="AM14" s="29">
        <v>1</v>
      </c>
      <c r="AN14" s="30">
        <v>0</v>
      </c>
      <c r="AO14" s="29">
        <v>1</v>
      </c>
      <c r="AP14" s="35">
        <v>25</v>
      </c>
      <c r="AQ14" s="35">
        <v>23.3333333333333</v>
      </c>
      <c r="AR14" s="35">
        <v>26.6666666666667</v>
      </c>
      <c r="AS14" s="35">
        <v>12</v>
      </c>
      <c r="AT14" s="35">
        <v>6</v>
      </c>
      <c r="AU14" s="35">
        <v>24</v>
      </c>
      <c r="AV14" s="35">
        <v>86</v>
      </c>
      <c r="AW14" s="35">
        <v>7.63888888888889</v>
      </c>
      <c r="AX14" s="35">
        <v>100</v>
      </c>
      <c r="AY14" s="35">
        <v>89.9145299145299</v>
      </c>
      <c r="AZ14" s="35">
        <v>46.2037037037037</v>
      </c>
      <c r="BA14" s="29" t="s">
        <v>74</v>
      </c>
      <c r="BB14" s="29">
        <v>0</v>
      </c>
      <c r="BC14" s="29">
        <v>0</v>
      </c>
      <c r="BD14" s="36">
        <v>0</v>
      </c>
      <c r="BE14" s="38">
        <v>1625</v>
      </c>
      <c r="BF14" s="36">
        <f t="shared" si="0"/>
        <v>0</v>
      </c>
    </row>
    <row r="15" spans="1:58">
      <c r="A15" s="14" t="s">
        <v>89</v>
      </c>
      <c r="B15" s="14" t="s">
        <v>89</v>
      </c>
      <c r="C15" s="15" t="s">
        <v>73</v>
      </c>
      <c r="D15" s="16">
        <v>63.779552939201</v>
      </c>
      <c r="E15" s="16">
        <v>0.679599134006131</v>
      </c>
      <c r="F15" s="16">
        <v>3.27034187125101</v>
      </c>
      <c r="G15" s="16">
        <v>-0.393116364713205</v>
      </c>
      <c r="H15" s="16">
        <v>33.2504678019074</v>
      </c>
      <c r="I15" s="16">
        <v>-0.578860985989886</v>
      </c>
      <c r="J15" s="16">
        <v>0.762738344395479</v>
      </c>
      <c r="K15" s="16">
        <v>-0.399787428194298</v>
      </c>
      <c r="L15" s="16">
        <v>0</v>
      </c>
      <c r="M15" s="16">
        <v>-0.424781864658015</v>
      </c>
      <c r="N15" s="16">
        <v>1.067859094397</v>
      </c>
      <c r="O15" s="16">
        <v>-0.474642421674341</v>
      </c>
      <c r="P15" s="16">
        <v>0.591240603271993</v>
      </c>
      <c r="Q15" s="16">
        <v>-0.646121722986533</v>
      </c>
      <c r="R15" s="16">
        <v>3.10576489700335</v>
      </c>
      <c r="S15" s="16">
        <v>-0.427828928282894</v>
      </c>
      <c r="T15" s="16">
        <v>1.34215178126595</v>
      </c>
      <c r="U15" s="16">
        <v>-0.508365161835278</v>
      </c>
      <c r="V15" s="16">
        <v>0</v>
      </c>
      <c r="W15" s="16">
        <v>-0.307051897076419</v>
      </c>
      <c r="X15" s="16">
        <v>0.823794329809438</v>
      </c>
      <c r="Y15" s="16">
        <v>-0.257161498605878</v>
      </c>
      <c r="Z15" s="16">
        <v>14.6547748541373</v>
      </c>
      <c r="AA15" s="16">
        <v>-0.373741244328073</v>
      </c>
      <c r="AB15" s="16">
        <v>2.80862175702503</v>
      </c>
      <c r="AC15" s="16">
        <v>-0.255567535435654</v>
      </c>
      <c r="AD15" s="16">
        <v>39.7725814218363</v>
      </c>
      <c r="AE15" s="16">
        <v>-0.435712955695219</v>
      </c>
      <c r="AF15" s="16">
        <v>290.691718296787</v>
      </c>
      <c r="AG15" s="16">
        <v>-0.826188336312504</v>
      </c>
      <c r="AH15" s="16">
        <v>135.96447873826</v>
      </c>
      <c r="AI15" s="23">
        <v>-0.447408383768626</v>
      </c>
      <c r="AJ15" s="24">
        <v>62</v>
      </c>
      <c r="AK15" s="29">
        <v>1</v>
      </c>
      <c r="AL15" s="14">
        <v>1</v>
      </c>
      <c r="AM15" s="29">
        <v>1</v>
      </c>
      <c r="AN15" s="30">
        <v>0</v>
      </c>
      <c r="AO15" s="29">
        <v>1</v>
      </c>
      <c r="AP15" s="35">
        <v>85</v>
      </c>
      <c r="AQ15" s="35">
        <v>83.3333333333333</v>
      </c>
      <c r="AR15" s="35">
        <v>86.6666666666667</v>
      </c>
      <c r="AS15" s="35">
        <v>8</v>
      </c>
      <c r="AT15" s="35">
        <v>9</v>
      </c>
      <c r="AU15" s="35">
        <v>23</v>
      </c>
      <c r="AV15" s="35">
        <v>72.3333333333333</v>
      </c>
      <c r="AW15" s="35">
        <v>21.5277777777778</v>
      </c>
      <c r="AX15" s="35">
        <v>41.6666666666667</v>
      </c>
      <c r="AY15" s="35">
        <v>76.1111111111111</v>
      </c>
      <c r="AZ15" s="35">
        <v>57.4074074074074</v>
      </c>
      <c r="BA15" s="29" t="s">
        <v>79</v>
      </c>
      <c r="BB15" s="29">
        <v>0</v>
      </c>
      <c r="BC15" s="29">
        <v>1</v>
      </c>
      <c r="BD15" s="36">
        <v>0</v>
      </c>
      <c r="BE15" s="38">
        <v>1592</v>
      </c>
      <c r="BF15" s="36">
        <f t="shared" si="0"/>
        <v>0</v>
      </c>
    </row>
    <row r="16" spans="1:58">
      <c r="A16" s="17" t="s">
        <v>90</v>
      </c>
      <c r="B16" s="17" t="s">
        <v>90</v>
      </c>
      <c r="C16" s="18" t="s">
        <v>73</v>
      </c>
      <c r="D16" s="19">
        <v>25.2181766463284</v>
      </c>
      <c r="E16" s="19">
        <v>-0.249452714826044</v>
      </c>
      <c r="F16" s="19">
        <v>8.65583515643869</v>
      </c>
      <c r="G16" s="19">
        <v>-0.267119484570569</v>
      </c>
      <c r="H16" s="19">
        <v>28.219288218422</v>
      </c>
      <c r="I16" s="19">
        <v>-0.75455981945317</v>
      </c>
      <c r="J16" s="19">
        <v>0.762738344395479</v>
      </c>
      <c r="K16" s="19">
        <v>-0.399787428194298</v>
      </c>
      <c r="L16" s="19">
        <v>0</v>
      </c>
      <c r="M16" s="19">
        <v>-0.424781864658015</v>
      </c>
      <c r="N16" s="19">
        <v>1.00678756455961</v>
      </c>
      <c r="O16" s="19">
        <v>-0.50408980308</v>
      </c>
      <c r="P16" s="19">
        <v>13.3038279708799</v>
      </c>
      <c r="Q16" s="19">
        <v>0.281911063715543</v>
      </c>
      <c r="R16" s="19">
        <v>1.03397322120928</v>
      </c>
      <c r="S16" s="19">
        <v>-0.921486826446386</v>
      </c>
      <c r="T16" s="19">
        <v>13.2570683128449</v>
      </c>
      <c r="U16" s="19">
        <v>-0.391741963136278</v>
      </c>
      <c r="V16" s="19">
        <v>0.674980968833916</v>
      </c>
      <c r="W16" s="19">
        <v>-0.296463646243057</v>
      </c>
      <c r="X16" s="19">
        <v>1.29406489205216</v>
      </c>
      <c r="Y16" s="19">
        <v>-0.245316707028278</v>
      </c>
      <c r="Z16" s="19">
        <v>22.5419725829864</v>
      </c>
      <c r="AA16" s="19">
        <v>0.355781824524501</v>
      </c>
      <c r="AB16" s="19">
        <v>1.29836899296844</v>
      </c>
      <c r="AC16" s="19">
        <v>-0.342231762664004</v>
      </c>
      <c r="AD16" s="19">
        <v>47.2853780647007</v>
      </c>
      <c r="AE16" s="19">
        <v>-0.159349258271911</v>
      </c>
      <c r="AF16" s="19">
        <v>545.871698573228</v>
      </c>
      <c r="AG16" s="19">
        <v>-0.0597999606907206</v>
      </c>
      <c r="AH16" s="25">
        <v>195.749585607753</v>
      </c>
      <c r="AI16" s="23">
        <v>-0.197130740094169</v>
      </c>
      <c r="AJ16" s="24">
        <v>63</v>
      </c>
      <c r="AK16" s="29">
        <v>1</v>
      </c>
      <c r="AL16" s="33">
        <v>4</v>
      </c>
      <c r="AM16" s="29">
        <v>2</v>
      </c>
      <c r="AN16" s="30">
        <v>20</v>
      </c>
      <c r="AO16" s="29">
        <v>2</v>
      </c>
      <c r="AP16" s="35">
        <v>37.5</v>
      </c>
      <c r="AQ16" s="35">
        <v>36.6666666666667</v>
      </c>
      <c r="AR16" s="35">
        <v>36.6666666666667</v>
      </c>
      <c r="AS16" s="35">
        <v>20</v>
      </c>
      <c r="AT16" s="35">
        <v>11</v>
      </c>
      <c r="AU16" s="35">
        <v>40</v>
      </c>
      <c r="AV16" s="35">
        <v>80</v>
      </c>
      <c r="AW16" s="35">
        <v>18.75</v>
      </c>
      <c r="AX16" s="35">
        <v>100</v>
      </c>
      <c r="AY16" s="35">
        <v>80.7692307692308</v>
      </c>
      <c r="AZ16" s="35">
        <v>27.3148148148148</v>
      </c>
      <c r="BA16" s="29">
        <v>5</v>
      </c>
      <c r="BB16" s="29">
        <v>0</v>
      </c>
      <c r="BC16" s="29">
        <v>0</v>
      </c>
      <c r="BD16" s="14">
        <v>0</v>
      </c>
      <c r="BE16" s="38">
        <v>1406</v>
      </c>
      <c r="BF16" s="36">
        <f t="shared" si="0"/>
        <v>0</v>
      </c>
    </row>
    <row r="17" spans="1:58">
      <c r="A17" s="14" t="s">
        <v>91</v>
      </c>
      <c r="B17" s="14" t="s">
        <v>91</v>
      </c>
      <c r="C17" s="15" t="s">
        <v>73</v>
      </c>
      <c r="D17" s="16">
        <v>40.0376819482128</v>
      </c>
      <c r="E17" s="16">
        <v>0.107590786290868</v>
      </c>
      <c r="F17" s="16">
        <v>34.0465563689968</v>
      </c>
      <c r="G17" s="16">
        <v>0.326911830286464</v>
      </c>
      <c r="H17" s="16">
        <v>48.9942410259232</v>
      </c>
      <c r="I17" s="16">
        <v>-0.0290569998928969</v>
      </c>
      <c r="J17" s="16">
        <v>4.47686890881141</v>
      </c>
      <c r="K17" s="16">
        <v>-0.291624225309545</v>
      </c>
      <c r="L17" s="16">
        <v>1.82561287028406</v>
      </c>
      <c r="M17" s="16">
        <v>-0.277476240565752</v>
      </c>
      <c r="N17" s="16">
        <v>1.97228027004062</v>
      </c>
      <c r="O17" s="16">
        <v>-0.0385499350206507</v>
      </c>
      <c r="P17" s="16">
        <v>3.53664122643295</v>
      </c>
      <c r="Q17" s="16">
        <v>-0.431104254927201</v>
      </c>
      <c r="R17" s="16">
        <v>3.10576489700335</v>
      </c>
      <c r="S17" s="16">
        <v>-0.427828928282894</v>
      </c>
      <c r="T17" s="16">
        <v>17.0307754968576</v>
      </c>
      <c r="U17" s="16">
        <v>-0.354804918584893</v>
      </c>
      <c r="V17" s="16">
        <v>15.9968506984475</v>
      </c>
      <c r="W17" s="16">
        <v>-0.0561134624245176</v>
      </c>
      <c r="X17" s="16">
        <v>9.79610007155922</v>
      </c>
      <c r="Y17" s="16">
        <v>-0.0311743754172599</v>
      </c>
      <c r="Z17" s="16">
        <v>23.8782806819323</v>
      </c>
      <c r="AA17" s="16">
        <v>0.479383085554103</v>
      </c>
      <c r="AB17" s="16">
        <v>4.36103380337568</v>
      </c>
      <c r="AC17" s="16">
        <v>-0.166484043228968</v>
      </c>
      <c r="AD17" s="16">
        <v>84.7386125170238</v>
      </c>
      <c r="AE17" s="16">
        <v>1.21839525495634</v>
      </c>
      <c r="AF17" s="16">
        <v>714.70877709551</v>
      </c>
      <c r="AG17" s="16">
        <v>0.447272632595177</v>
      </c>
      <c r="AH17" s="20">
        <v>138.160256262349</v>
      </c>
      <c r="AI17" s="23">
        <v>-0.438216227836515</v>
      </c>
      <c r="AJ17" s="24">
        <v>97</v>
      </c>
      <c r="AK17" s="29">
        <v>1</v>
      </c>
      <c r="AL17" s="14">
        <v>2</v>
      </c>
      <c r="AM17" s="29">
        <v>1</v>
      </c>
      <c r="AN17" s="30">
        <v>0</v>
      </c>
      <c r="AO17" s="29">
        <v>3</v>
      </c>
      <c r="AP17" s="35"/>
      <c r="AQ17" s="35"/>
      <c r="AR17" s="35"/>
      <c r="AS17" s="35"/>
      <c r="AT17" s="35"/>
      <c r="AU17" s="35"/>
      <c r="AV17" s="35"/>
      <c r="AW17" s="35"/>
      <c r="AX17" s="35" t="s">
        <v>92</v>
      </c>
      <c r="AY17" s="35"/>
      <c r="AZ17" s="35"/>
      <c r="BA17" s="29">
        <v>5</v>
      </c>
      <c r="BB17" s="29">
        <v>0</v>
      </c>
      <c r="BC17" s="29">
        <v>0</v>
      </c>
      <c r="BD17" s="36">
        <v>1</v>
      </c>
      <c r="BE17" s="38">
        <v>84</v>
      </c>
      <c r="BF17" s="36">
        <f t="shared" si="0"/>
        <v>1</v>
      </c>
    </row>
    <row r="18" spans="1:58">
      <c r="A18" s="14" t="s">
        <v>93</v>
      </c>
      <c r="B18" s="14" t="s">
        <v>93</v>
      </c>
      <c r="C18" s="15" t="s">
        <v>73</v>
      </c>
      <c r="D18" s="16">
        <v>79.3001350459632</v>
      </c>
      <c r="E18" s="16">
        <v>1.05353354422333</v>
      </c>
      <c r="F18" s="16">
        <v>6.04027585182763</v>
      </c>
      <c r="G18" s="16">
        <v>-0.328312080078104</v>
      </c>
      <c r="H18" s="16">
        <v>32.3851853404247</v>
      </c>
      <c r="I18" s="16">
        <v>-0.609078376678499</v>
      </c>
      <c r="J18" s="16">
        <v>0.762738344395479</v>
      </c>
      <c r="K18" s="16">
        <v>-0.399787428194298</v>
      </c>
      <c r="L18" s="16">
        <v>0</v>
      </c>
      <c r="M18" s="16">
        <v>-0.424781864658015</v>
      </c>
      <c r="N18" s="16">
        <v>1.61272169664605</v>
      </c>
      <c r="O18" s="16">
        <v>-0.211921364827904</v>
      </c>
      <c r="P18" s="16">
        <v>4.09519226982775</v>
      </c>
      <c r="Q18" s="16">
        <v>-0.390329417647592</v>
      </c>
      <c r="R18" s="16">
        <v>2.8493450117849</v>
      </c>
      <c r="S18" s="16">
        <v>-0.488927591369156</v>
      </c>
      <c r="T18" s="16">
        <v>15.3305184064115</v>
      </c>
      <c r="U18" s="16">
        <v>-0.371447034370845</v>
      </c>
      <c r="V18" s="16">
        <v>5.5204746857764</v>
      </c>
      <c r="W18" s="16">
        <v>-0.220453647064708</v>
      </c>
      <c r="X18" s="16">
        <v>1.5248126607225</v>
      </c>
      <c r="Y18" s="16">
        <v>-0.239504820326585</v>
      </c>
      <c r="Z18" s="16">
        <v>20.4384653022648</v>
      </c>
      <c r="AA18" s="16">
        <v>0.161218794720799</v>
      </c>
      <c r="AB18" s="16">
        <v>6.2597068000061</v>
      </c>
      <c r="AC18" s="16">
        <v>-0.0575307395645326</v>
      </c>
      <c r="AD18" s="16">
        <v>41.9143182899422</v>
      </c>
      <c r="AE18" s="16">
        <v>-0.356927604791339</v>
      </c>
      <c r="AF18" s="16">
        <v>582.16017217335</v>
      </c>
      <c r="AG18" s="16">
        <v>0.0491861137891947</v>
      </c>
      <c r="AH18" s="20">
        <v>356.62981504296</v>
      </c>
      <c r="AI18" s="23">
        <v>0.476360148276157</v>
      </c>
      <c r="AJ18" s="24">
        <v>81</v>
      </c>
      <c r="AK18" s="29">
        <v>2</v>
      </c>
      <c r="AL18" s="14">
        <v>4</v>
      </c>
      <c r="AM18" s="29">
        <v>2</v>
      </c>
      <c r="AN18" s="30">
        <v>20</v>
      </c>
      <c r="AO18" s="29">
        <v>2</v>
      </c>
      <c r="AP18" s="35">
        <v>64</v>
      </c>
      <c r="AQ18" s="35">
        <v>39</v>
      </c>
      <c r="AR18" s="35">
        <v>75</v>
      </c>
      <c r="AS18" s="35">
        <v>27</v>
      </c>
      <c r="AT18" s="35">
        <v>36</v>
      </c>
      <c r="AU18" s="35">
        <v>25</v>
      </c>
      <c r="AV18" s="35">
        <v>24.3333333333333</v>
      </c>
      <c r="AW18" s="35">
        <v>36.1111111111111</v>
      </c>
      <c r="AX18" s="35">
        <v>33.3333333333333</v>
      </c>
      <c r="AY18" s="35">
        <v>48.6752136752137</v>
      </c>
      <c r="AZ18" s="35">
        <v>50.9259259259259</v>
      </c>
      <c r="BA18" s="29">
        <v>4</v>
      </c>
      <c r="BB18" s="29">
        <v>0</v>
      </c>
      <c r="BC18" s="29">
        <v>0</v>
      </c>
      <c r="BD18" s="36">
        <v>1</v>
      </c>
      <c r="BE18" s="38">
        <v>253</v>
      </c>
      <c r="BF18" s="36">
        <f t="shared" si="0"/>
        <v>1</v>
      </c>
    </row>
    <row r="19" spans="1:58">
      <c r="A19" s="14" t="s">
        <v>94</v>
      </c>
      <c r="B19" s="14" t="s">
        <v>94</v>
      </c>
      <c r="C19" s="15" t="s">
        <v>73</v>
      </c>
      <c r="D19" s="16">
        <v>3.00129257103687</v>
      </c>
      <c r="E19" s="16">
        <v>-0.784719845041381</v>
      </c>
      <c r="F19" s="16">
        <v>0.04367910942995</v>
      </c>
      <c r="G19" s="16">
        <v>-0.468606096058716</v>
      </c>
      <c r="H19" s="16">
        <v>27.5039095847667</v>
      </c>
      <c r="I19" s="16">
        <v>-0.779542269260839</v>
      </c>
      <c r="J19" s="16">
        <v>0</v>
      </c>
      <c r="K19" s="16">
        <v>-0.421999954345974</v>
      </c>
      <c r="L19" s="16">
        <v>0</v>
      </c>
      <c r="M19" s="16">
        <v>-0.424781864658015</v>
      </c>
      <c r="N19" s="16">
        <v>0.259133996744022</v>
      </c>
      <c r="O19" s="16">
        <v>-0.864592312668164</v>
      </c>
      <c r="P19" s="16">
        <v>2.07854644162471</v>
      </c>
      <c r="Q19" s="16">
        <v>-0.537546769522558</v>
      </c>
      <c r="R19" s="16">
        <v>1.63171722186895</v>
      </c>
      <c r="S19" s="16">
        <v>-0.779058873649254</v>
      </c>
      <c r="T19" s="16">
        <v>41.6913507057734</v>
      </c>
      <c r="U19" s="16">
        <v>-0.113427217364866</v>
      </c>
      <c r="V19" s="16">
        <v>0</v>
      </c>
      <c r="W19" s="16">
        <v>-0.307051897076419</v>
      </c>
      <c r="X19" s="16">
        <v>0.33157087540088</v>
      </c>
      <c r="Y19" s="16">
        <v>-0.269559221736304</v>
      </c>
      <c r="Z19" s="16">
        <v>16.8361798146422</v>
      </c>
      <c r="AA19" s="16">
        <v>-0.171973101077786</v>
      </c>
      <c r="AB19" s="16">
        <v>1.00427802603513</v>
      </c>
      <c r="AC19" s="16">
        <v>-0.359107855852309</v>
      </c>
      <c r="AD19" s="16">
        <v>28.4185759119844</v>
      </c>
      <c r="AE19" s="16">
        <v>-0.853378319531144</v>
      </c>
      <c r="AF19" s="16">
        <v>23.0848333899513</v>
      </c>
      <c r="AG19" s="16">
        <v>-1.62989874340156</v>
      </c>
      <c r="AH19" s="20">
        <v>464.400754969301</v>
      </c>
      <c r="AI19" s="23">
        <v>0.927520283528999</v>
      </c>
      <c r="AJ19" s="24">
        <v>81</v>
      </c>
      <c r="AK19" s="29">
        <v>1</v>
      </c>
      <c r="AL19" s="14">
        <v>1</v>
      </c>
      <c r="AM19" s="29">
        <v>2</v>
      </c>
      <c r="AN19" s="30">
        <v>35</v>
      </c>
      <c r="AO19" s="29">
        <v>3</v>
      </c>
      <c r="AP19" s="35">
        <v>27.5</v>
      </c>
      <c r="AQ19" s="35">
        <v>3.33333333333333</v>
      </c>
      <c r="AR19" s="35">
        <v>16.6666666666667</v>
      </c>
      <c r="AS19" s="35">
        <v>14</v>
      </c>
      <c r="AT19" s="35">
        <v>11</v>
      </c>
      <c r="AU19" s="35">
        <v>12</v>
      </c>
      <c r="AV19" s="35">
        <v>74</v>
      </c>
      <c r="AW19" s="35">
        <v>32.6388888888889</v>
      </c>
      <c r="AX19" s="35">
        <v>75</v>
      </c>
      <c r="AY19" s="35">
        <v>69.9145299145299</v>
      </c>
      <c r="AZ19" s="35">
        <v>53.6728395061728</v>
      </c>
      <c r="BA19" s="29">
        <v>4</v>
      </c>
      <c r="BB19" s="29">
        <v>1</v>
      </c>
      <c r="BC19" s="29">
        <v>0</v>
      </c>
      <c r="BD19" s="36">
        <v>1</v>
      </c>
      <c r="BE19" s="38">
        <v>51</v>
      </c>
      <c r="BF19" s="36">
        <f t="shared" si="0"/>
        <v>1</v>
      </c>
    </row>
    <row r="20" spans="1:58">
      <c r="A20" s="14" t="s">
        <v>95</v>
      </c>
      <c r="B20" s="14" t="s">
        <v>95</v>
      </c>
      <c r="C20" s="15" t="s">
        <v>73</v>
      </c>
      <c r="D20" s="16">
        <v>53.7404930323671</v>
      </c>
      <c r="E20" s="16">
        <v>0.437729987631682</v>
      </c>
      <c r="F20" s="16">
        <v>22.9812639885931</v>
      </c>
      <c r="G20" s="16">
        <v>0.0680326071646847</v>
      </c>
      <c r="H20" s="16">
        <v>35.8528100693197</v>
      </c>
      <c r="I20" s="16">
        <v>-0.487981999646928</v>
      </c>
      <c r="J20" s="16">
        <v>11.3244029662588</v>
      </c>
      <c r="K20" s="16">
        <v>-0.0922097990607966</v>
      </c>
      <c r="L20" s="16">
        <v>4.56739850279114</v>
      </c>
      <c r="M20" s="16">
        <v>-0.0562461811716087</v>
      </c>
      <c r="N20" s="16">
        <v>2.38900254549332</v>
      </c>
      <c r="O20" s="16">
        <v>0.162384605479052</v>
      </c>
      <c r="P20" s="16">
        <v>3.76013941501769</v>
      </c>
      <c r="Q20" s="16">
        <v>-0.41478864263071</v>
      </c>
      <c r="R20" s="16">
        <v>3.18284593439655</v>
      </c>
      <c r="S20" s="16">
        <v>-0.409462379487295</v>
      </c>
      <c r="T20" s="16">
        <v>16.0857823975042</v>
      </c>
      <c r="U20" s="16">
        <v>-0.364054510699365</v>
      </c>
      <c r="V20" s="16">
        <v>25.4928070593731</v>
      </c>
      <c r="W20" s="16">
        <v>0.0928471342362174</v>
      </c>
      <c r="X20" s="16">
        <v>7.49017257555516</v>
      </c>
      <c r="Y20" s="16">
        <v>-0.089254197494507</v>
      </c>
      <c r="Z20" s="16">
        <v>16.2310942021334</v>
      </c>
      <c r="AA20" s="16">
        <v>-0.227940242784068</v>
      </c>
      <c r="AB20" s="16">
        <v>7.3809368183131</v>
      </c>
      <c r="AC20" s="16">
        <v>0.00680983665848427</v>
      </c>
      <c r="AD20" s="16">
        <v>109.561480930484</v>
      </c>
      <c r="AE20" s="16">
        <v>2.13152255248698</v>
      </c>
      <c r="AF20" s="16">
        <v>472.826828786824</v>
      </c>
      <c r="AG20" s="16">
        <v>-0.279177433180772</v>
      </c>
      <c r="AH20" s="16">
        <v>167.631792737071</v>
      </c>
      <c r="AI20" s="23">
        <v>-0.314839904022948</v>
      </c>
      <c r="AJ20" s="24">
        <v>66</v>
      </c>
      <c r="AK20" s="29">
        <v>2</v>
      </c>
      <c r="AL20" s="14">
        <v>1</v>
      </c>
      <c r="AM20" s="29">
        <v>1</v>
      </c>
      <c r="AN20" s="30">
        <v>0</v>
      </c>
      <c r="AO20" s="29">
        <v>1</v>
      </c>
      <c r="AP20" s="35">
        <v>33.75</v>
      </c>
      <c r="AQ20" s="35">
        <v>20</v>
      </c>
      <c r="AR20" s="35">
        <v>30</v>
      </c>
      <c r="AS20" s="35">
        <v>4</v>
      </c>
      <c r="AT20" s="35">
        <v>18</v>
      </c>
      <c r="AU20" s="35">
        <v>19</v>
      </c>
      <c r="AV20" s="35">
        <v>83</v>
      </c>
      <c r="AW20" s="35">
        <v>29.1666666666667</v>
      </c>
      <c r="AX20" s="35">
        <v>50</v>
      </c>
      <c r="AY20" s="35">
        <v>75.5128205128205</v>
      </c>
      <c r="AZ20" s="35">
        <v>39.4135802469136</v>
      </c>
      <c r="BA20" s="29" t="s">
        <v>82</v>
      </c>
      <c r="BB20" s="29">
        <v>0</v>
      </c>
      <c r="BC20" s="29">
        <v>0</v>
      </c>
      <c r="BD20" s="36">
        <v>0</v>
      </c>
      <c r="BE20" s="38">
        <v>1582</v>
      </c>
      <c r="BF20" s="36">
        <f t="shared" si="0"/>
        <v>0</v>
      </c>
    </row>
    <row r="21" spans="1:58">
      <c r="A21" s="14" t="s">
        <v>96</v>
      </c>
      <c r="B21" s="14" t="s">
        <v>96</v>
      </c>
      <c r="C21" s="15" t="s">
        <v>73</v>
      </c>
      <c r="D21" s="16">
        <v>19.3081194796718</v>
      </c>
      <c r="E21" s="16">
        <v>-0.391842589494522</v>
      </c>
      <c r="F21" s="16">
        <v>12.4088083188142</v>
      </c>
      <c r="G21" s="16">
        <v>-0.17931640234987</v>
      </c>
      <c r="H21" s="16">
        <v>74.437500333219</v>
      </c>
      <c r="I21" s="16">
        <v>0.859472400740987</v>
      </c>
      <c r="J21" s="16">
        <v>8.35696259015801</v>
      </c>
      <c r="K21" s="16">
        <v>-0.17862783145947</v>
      </c>
      <c r="L21" s="16">
        <v>2.69376343239605</v>
      </c>
      <c r="M21" s="16">
        <v>-0.207426635614152</v>
      </c>
      <c r="N21" s="16">
        <v>0.88424075483402</v>
      </c>
      <c r="O21" s="16">
        <v>-0.563179245503413</v>
      </c>
      <c r="P21" s="16">
        <v>4.43008654757004</v>
      </c>
      <c r="Q21" s="16">
        <v>-0.365881768963921</v>
      </c>
      <c r="R21" s="16">
        <v>2.95181545136986</v>
      </c>
      <c r="S21" s="16">
        <v>-0.464511361484454</v>
      </c>
      <c r="T21" s="16">
        <v>12.5044395335392</v>
      </c>
      <c r="U21" s="16">
        <v>-0.39910869335574</v>
      </c>
      <c r="V21" s="16">
        <v>14.1841079751526</v>
      </c>
      <c r="W21" s="16">
        <v>-0.0845494858634557</v>
      </c>
      <c r="X21" s="16">
        <v>3.32135949754321</v>
      </c>
      <c r="Y21" s="16">
        <v>-0.194254863067822</v>
      </c>
      <c r="Z21" s="16">
        <v>16.7604098196143</v>
      </c>
      <c r="AA21" s="16">
        <v>-0.178981415209118</v>
      </c>
      <c r="AB21" s="16">
        <v>5.94105674107146</v>
      </c>
      <c r="AC21" s="16">
        <v>-0.0758161297793881</v>
      </c>
      <c r="AD21" s="16">
        <v>37.6347827551531</v>
      </c>
      <c r="AE21" s="16">
        <v>-0.514353436990867</v>
      </c>
      <c r="AF21" s="16">
        <v>879.227028481963</v>
      </c>
      <c r="AG21" s="16">
        <v>0.941374385027362</v>
      </c>
      <c r="AH21" s="16">
        <v>177.39148986747</v>
      </c>
      <c r="AI21" s="23">
        <v>-0.273983006232254</v>
      </c>
      <c r="AJ21" s="24">
        <v>68</v>
      </c>
      <c r="AK21" s="29">
        <v>1</v>
      </c>
      <c r="AL21" s="14">
        <v>1</v>
      </c>
      <c r="AM21" s="29">
        <v>3</v>
      </c>
      <c r="AN21" s="30">
        <v>29</v>
      </c>
      <c r="AO21" s="29">
        <v>1</v>
      </c>
      <c r="AP21" s="35">
        <v>3.75</v>
      </c>
      <c r="AQ21" s="35">
        <v>0</v>
      </c>
      <c r="AR21" s="35">
        <v>0</v>
      </c>
      <c r="AS21" s="35">
        <v>0</v>
      </c>
      <c r="AT21" s="35">
        <v>0</v>
      </c>
      <c r="AU21" s="35">
        <v>0</v>
      </c>
      <c r="AV21" s="35">
        <v>88</v>
      </c>
      <c r="AW21" s="35">
        <v>12.5</v>
      </c>
      <c r="AX21" s="35">
        <v>50</v>
      </c>
      <c r="AY21" s="35">
        <v>87.6923076923077</v>
      </c>
      <c r="AZ21" s="35">
        <v>12.962962962963</v>
      </c>
      <c r="BA21" s="29" t="s">
        <v>82</v>
      </c>
      <c r="BB21" s="29">
        <v>0</v>
      </c>
      <c r="BC21" s="29">
        <v>0</v>
      </c>
      <c r="BD21" s="36">
        <v>0</v>
      </c>
      <c r="BE21" s="38">
        <v>1510</v>
      </c>
      <c r="BF21" s="36">
        <f t="shared" si="0"/>
        <v>0</v>
      </c>
    </row>
    <row r="22" spans="1:58">
      <c r="A22" s="14" t="s">
        <v>97</v>
      </c>
      <c r="B22" s="14" t="s">
        <v>97</v>
      </c>
      <c r="C22" s="15" t="s">
        <v>73</v>
      </c>
      <c r="D22" s="16">
        <v>36.0614038639733</v>
      </c>
      <c r="E22" s="16">
        <v>0.0117910804511063</v>
      </c>
      <c r="F22" s="16">
        <v>13.6268823106814</v>
      </c>
      <c r="G22" s="16">
        <v>-0.150818822902456</v>
      </c>
      <c r="H22" s="16">
        <v>62.0196740957384</v>
      </c>
      <c r="I22" s="16">
        <v>0.425817122118704</v>
      </c>
      <c r="J22" s="16">
        <v>7.37744685730779</v>
      </c>
      <c r="K22" s="16">
        <v>-0.207153365794784</v>
      </c>
      <c r="L22" s="16">
        <v>1.82561287028406</v>
      </c>
      <c r="M22" s="16">
        <v>-0.277476240565752</v>
      </c>
      <c r="N22" s="16">
        <v>3.03916986918766</v>
      </c>
      <c r="O22" s="16">
        <v>0.475881339706959</v>
      </c>
      <c r="P22" s="16">
        <v>6.55102882820091</v>
      </c>
      <c r="Q22" s="16">
        <v>-0.211050661950771</v>
      </c>
      <c r="R22" s="16">
        <v>4.19072159855411</v>
      </c>
      <c r="S22" s="16">
        <v>-0.169309960790344</v>
      </c>
      <c r="T22" s="16">
        <v>122.292916921814</v>
      </c>
      <c r="U22" s="16">
        <v>0.67550088358745</v>
      </c>
      <c r="V22" s="16">
        <v>18.2371126819712</v>
      </c>
      <c r="W22" s="16">
        <v>-0.0209710555875169</v>
      </c>
      <c r="X22" s="16">
        <v>5.51986784160696</v>
      </c>
      <c r="Y22" s="16">
        <v>-0.138880627026213</v>
      </c>
      <c r="Z22" s="16">
        <v>11.0509086660097</v>
      </c>
      <c r="AA22" s="16">
        <v>-0.707079346361495</v>
      </c>
      <c r="AB22" s="16">
        <v>8.34864372915518</v>
      </c>
      <c r="AC22" s="16">
        <v>0.0623406548153052</v>
      </c>
      <c r="AD22" s="16">
        <v>44.4178832098784</v>
      </c>
      <c r="AE22" s="16">
        <v>-0.264832145416698</v>
      </c>
      <c r="AF22" s="16">
        <v>447.679370793532</v>
      </c>
      <c r="AG22" s="16">
        <v>-0.354703418650391</v>
      </c>
      <c r="AH22" s="16">
        <v>256.682730864269</v>
      </c>
      <c r="AI22" s="23">
        <v>0.0579529222929281</v>
      </c>
      <c r="AJ22" s="24">
        <v>52</v>
      </c>
      <c r="AK22" s="29">
        <v>2</v>
      </c>
      <c r="AL22" s="14">
        <v>1</v>
      </c>
      <c r="AM22" s="29">
        <v>3</v>
      </c>
      <c r="AN22" s="30">
        <v>35</v>
      </c>
      <c r="AO22" s="29">
        <v>1</v>
      </c>
      <c r="AP22" s="35">
        <v>83.875</v>
      </c>
      <c r="AQ22" s="35">
        <v>65</v>
      </c>
      <c r="AR22" s="35">
        <v>94.3333333333333</v>
      </c>
      <c r="AS22" s="35">
        <v>10</v>
      </c>
      <c r="AT22" s="35">
        <v>24</v>
      </c>
      <c r="AU22" s="35">
        <v>25</v>
      </c>
      <c r="AV22" s="35">
        <v>49.3333333333333</v>
      </c>
      <c r="AW22" s="35">
        <v>62.5</v>
      </c>
      <c r="AX22" s="35">
        <v>33.3333333333333</v>
      </c>
      <c r="AY22" s="35">
        <v>42.0512820512821</v>
      </c>
      <c r="AZ22" s="35">
        <v>54.8765432098765</v>
      </c>
      <c r="BA22" s="29">
        <v>4</v>
      </c>
      <c r="BB22" s="29">
        <v>0</v>
      </c>
      <c r="BC22" s="29">
        <v>1</v>
      </c>
      <c r="BD22" s="36">
        <v>0</v>
      </c>
      <c r="BE22" s="38">
        <v>1500</v>
      </c>
      <c r="BF22" s="36">
        <f t="shared" si="0"/>
        <v>0</v>
      </c>
    </row>
    <row r="23" spans="1:58">
      <c r="A23" s="17" t="s">
        <v>98</v>
      </c>
      <c r="B23" s="17" t="s">
        <v>98</v>
      </c>
      <c r="C23" s="18" t="s">
        <v>73</v>
      </c>
      <c r="D23" s="19">
        <v>123.850650419711</v>
      </c>
      <c r="E23" s="19">
        <v>2.1268805731274</v>
      </c>
      <c r="F23" s="19">
        <v>7.36246815559763</v>
      </c>
      <c r="G23" s="19">
        <v>-0.297378589606243</v>
      </c>
      <c r="H23" s="19">
        <v>91.5208956938083</v>
      </c>
      <c r="I23" s="19">
        <v>1.45605866577911</v>
      </c>
      <c r="J23" s="19">
        <v>0</v>
      </c>
      <c r="K23" s="19">
        <v>-0.421999954345974</v>
      </c>
      <c r="L23" s="19">
        <v>0.433222142338296</v>
      </c>
      <c r="M23" s="19">
        <v>-0.389825900506754</v>
      </c>
      <c r="N23" s="19">
        <v>2.03197941353351</v>
      </c>
      <c r="O23" s="19">
        <v>-0.00976428886593431</v>
      </c>
      <c r="P23" s="19">
        <v>1.79619074993276</v>
      </c>
      <c r="Q23" s="19">
        <v>-0.558159043941985</v>
      </c>
      <c r="R23" s="19">
        <v>2.61928544534832</v>
      </c>
      <c r="S23" s="19">
        <v>-0.543745227401967</v>
      </c>
      <c r="T23" s="19">
        <v>3.1777528418217</v>
      </c>
      <c r="U23" s="19">
        <v>-0.490398299318876</v>
      </c>
      <c r="V23" s="19">
        <v>12.8939913392451</v>
      </c>
      <c r="W23" s="19">
        <v>-0.104787209852742</v>
      </c>
      <c r="X23" s="19">
        <v>1.29406489205216</v>
      </c>
      <c r="Y23" s="19">
        <v>-0.245316707028278</v>
      </c>
      <c r="Z23" s="19">
        <v>14.4310586357414</v>
      </c>
      <c r="AA23" s="19">
        <v>-0.39443378276911</v>
      </c>
      <c r="AB23" s="19">
        <v>3.73621007508901</v>
      </c>
      <c r="AC23" s="19">
        <v>-0.202338879488597</v>
      </c>
      <c r="AD23" s="19">
        <v>41.9143182899422</v>
      </c>
      <c r="AE23" s="19">
        <v>-0.356927604791339</v>
      </c>
      <c r="AF23" s="19">
        <v>591.68594420549</v>
      </c>
      <c r="AG23" s="19">
        <v>0.077795101635132</v>
      </c>
      <c r="AH23" s="25">
        <v>192.516859264071</v>
      </c>
      <c r="AI23" s="23">
        <v>-0.210663861874937</v>
      </c>
      <c r="AJ23" s="24">
        <v>45</v>
      </c>
      <c r="AK23" s="29">
        <v>1</v>
      </c>
      <c r="AL23" s="14">
        <v>3</v>
      </c>
      <c r="AM23" s="29">
        <v>1</v>
      </c>
      <c r="AN23" s="30">
        <v>0</v>
      </c>
      <c r="AO23" s="29">
        <v>1</v>
      </c>
      <c r="AP23" s="35">
        <v>64.625</v>
      </c>
      <c r="AQ23" s="35">
        <v>58.3333333333333</v>
      </c>
      <c r="AR23" s="35">
        <v>54.3333333333333</v>
      </c>
      <c r="AS23" s="35">
        <v>10</v>
      </c>
      <c r="AT23" s="35">
        <v>39</v>
      </c>
      <c r="AU23" s="35">
        <v>30</v>
      </c>
      <c r="AV23" s="35">
        <v>22</v>
      </c>
      <c r="AW23" s="35">
        <v>54.1666666666667</v>
      </c>
      <c r="AX23" s="35">
        <v>25</v>
      </c>
      <c r="AY23" s="35">
        <v>36.6666666666667</v>
      </c>
      <c r="AZ23" s="35">
        <v>63.6728395061728</v>
      </c>
      <c r="BA23" s="29">
        <v>5</v>
      </c>
      <c r="BB23" s="29">
        <v>1</v>
      </c>
      <c r="BC23" s="29">
        <v>1</v>
      </c>
      <c r="BD23" s="36">
        <v>0</v>
      </c>
      <c r="BE23" s="38">
        <v>1485</v>
      </c>
      <c r="BF23" s="36">
        <f t="shared" si="0"/>
        <v>0</v>
      </c>
    </row>
    <row r="24" spans="1:58">
      <c r="A24" s="14" t="s">
        <v>99</v>
      </c>
      <c r="B24" s="14" t="s">
        <v>99</v>
      </c>
      <c r="C24" s="15" t="s">
        <v>73</v>
      </c>
      <c r="D24" s="16">
        <v>56.2771321414245</v>
      </c>
      <c r="E24" s="16">
        <v>0.498844747545616</v>
      </c>
      <c r="F24" s="16">
        <v>8.65583515643869</v>
      </c>
      <c r="G24" s="16">
        <v>-0.267119484570569</v>
      </c>
      <c r="H24" s="16">
        <v>32.3851853404247</v>
      </c>
      <c r="I24" s="16">
        <v>-0.609078376678499</v>
      </c>
      <c r="J24" s="16">
        <v>0</v>
      </c>
      <c r="K24" s="16">
        <v>-0.421999954345974</v>
      </c>
      <c r="L24" s="16">
        <v>0</v>
      </c>
      <c r="M24" s="16">
        <v>-0.424781864658015</v>
      </c>
      <c r="N24" s="16">
        <v>0.88424075483402</v>
      </c>
      <c r="O24" s="16">
        <v>-0.563179245503413</v>
      </c>
      <c r="P24" s="16">
        <v>6.43930966526363</v>
      </c>
      <c r="Q24" s="16">
        <v>-0.219206283077347</v>
      </c>
      <c r="R24" s="16">
        <v>1.73219460483698</v>
      </c>
      <c r="S24" s="16">
        <v>-0.755117541000567</v>
      </c>
      <c r="T24" s="16">
        <v>14.3873842585433</v>
      </c>
      <c r="U24" s="16">
        <v>-0.380678431068851</v>
      </c>
      <c r="V24" s="16">
        <v>0</v>
      </c>
      <c r="W24" s="16">
        <v>-0.307051897076419</v>
      </c>
      <c r="X24" s="16">
        <v>1.75351634635538</v>
      </c>
      <c r="Y24" s="16">
        <v>-0.233744418322191</v>
      </c>
      <c r="Z24" s="16">
        <v>14.5055887488428</v>
      </c>
      <c r="AA24" s="16">
        <v>-0.38754015100015</v>
      </c>
      <c r="AB24" s="16">
        <v>2.80862175702503</v>
      </c>
      <c r="AC24" s="16">
        <v>-0.255567535435654</v>
      </c>
      <c r="AD24" s="16">
        <v>44.7759570405392</v>
      </c>
      <c r="AE24" s="16">
        <v>-0.251660138706529</v>
      </c>
      <c r="AF24" s="16">
        <v>1104.28965450917</v>
      </c>
      <c r="AG24" s="16">
        <v>1.61731056225924</v>
      </c>
      <c r="AH24" s="20">
        <v>165.458889315348</v>
      </c>
      <c r="AI24" s="23">
        <v>-0.323936302386978</v>
      </c>
      <c r="AJ24" s="24">
        <v>68</v>
      </c>
      <c r="AK24" s="29">
        <v>1</v>
      </c>
      <c r="AL24" s="14">
        <v>1</v>
      </c>
      <c r="AM24" s="29">
        <v>2</v>
      </c>
      <c r="AN24" s="30">
        <v>5</v>
      </c>
      <c r="AO24" s="29">
        <v>1</v>
      </c>
      <c r="AP24" s="35">
        <v>95</v>
      </c>
      <c r="AQ24" s="35">
        <v>95</v>
      </c>
      <c r="AR24" s="35">
        <v>95</v>
      </c>
      <c r="AS24" s="35">
        <v>22</v>
      </c>
      <c r="AT24" s="35">
        <v>36</v>
      </c>
      <c r="AU24" s="35">
        <v>32</v>
      </c>
      <c r="AV24" s="35">
        <v>29.3333333333333</v>
      </c>
      <c r="AW24" s="35">
        <v>47.9166666666667</v>
      </c>
      <c r="AX24" s="35">
        <v>16.6666666666667</v>
      </c>
      <c r="AY24" s="35">
        <v>43.3333333333333</v>
      </c>
      <c r="AZ24" s="35">
        <v>44.1666666666667</v>
      </c>
      <c r="BA24" s="29">
        <v>4</v>
      </c>
      <c r="BB24" s="29">
        <v>1</v>
      </c>
      <c r="BC24" s="29">
        <v>1</v>
      </c>
      <c r="BD24" s="36">
        <v>0</v>
      </c>
      <c r="BE24" s="38">
        <v>1410</v>
      </c>
      <c r="BF24" s="36">
        <f t="shared" si="0"/>
        <v>0</v>
      </c>
    </row>
    <row r="25" spans="1:58">
      <c r="A25" s="14" t="s">
        <v>100</v>
      </c>
      <c r="B25" s="14" t="s">
        <v>100</v>
      </c>
      <c r="C25" s="15" t="s">
        <v>73</v>
      </c>
      <c r="D25" s="16">
        <v>57.3562802680141</v>
      </c>
      <c r="E25" s="16">
        <v>0.524844456543481</v>
      </c>
      <c r="F25" s="16">
        <v>8.65583515643869</v>
      </c>
      <c r="G25" s="16">
        <v>-0.267119484570569</v>
      </c>
      <c r="H25" s="16">
        <v>43.1286757428778</v>
      </c>
      <c r="I25" s="16">
        <v>-0.23389424744745</v>
      </c>
      <c r="J25" s="16">
        <v>0.762738344395479</v>
      </c>
      <c r="K25" s="16">
        <v>-0.399787428194298</v>
      </c>
      <c r="L25" s="16">
        <v>0.433222142338296</v>
      </c>
      <c r="M25" s="16">
        <v>-0.389825900506754</v>
      </c>
      <c r="N25" s="16">
        <v>0.761084310541208</v>
      </c>
      <c r="O25" s="16">
        <v>-0.622562640635508</v>
      </c>
      <c r="P25" s="16">
        <v>0.473109597805682</v>
      </c>
      <c r="Q25" s="16">
        <v>-0.654745415632938</v>
      </c>
      <c r="R25" s="16">
        <v>1.78251194915546</v>
      </c>
      <c r="S25" s="16">
        <v>-0.743128133606163</v>
      </c>
      <c r="T25" s="16">
        <v>1.70766808319623</v>
      </c>
      <c r="U25" s="16">
        <v>-0.504787488404268</v>
      </c>
      <c r="V25" s="16">
        <v>7.52629781681531</v>
      </c>
      <c r="W25" s="16">
        <v>-0.188988821507492</v>
      </c>
      <c r="X25" s="16">
        <v>0.823794329809438</v>
      </c>
      <c r="Y25" s="16">
        <v>-0.257161498605878</v>
      </c>
      <c r="Z25" s="16">
        <v>13.8363478988932</v>
      </c>
      <c r="AA25" s="16">
        <v>-0.449441304672378</v>
      </c>
      <c r="AB25" s="16">
        <v>4.99020605238949</v>
      </c>
      <c r="AC25" s="16">
        <v>-0.130379671793922</v>
      </c>
      <c r="AD25" s="16">
        <v>44.0599141118344</v>
      </c>
      <c r="AE25" s="16">
        <v>-0.278000299461263</v>
      </c>
      <c r="AF25" s="16">
        <v>658.107875819201</v>
      </c>
      <c r="AG25" s="16">
        <v>0.277281739340593</v>
      </c>
      <c r="AH25" s="20">
        <v>113.895268671876</v>
      </c>
      <c r="AI25" s="23">
        <v>-0.539796441303231</v>
      </c>
      <c r="AJ25" s="24">
        <v>72</v>
      </c>
      <c r="AK25" s="29">
        <v>2</v>
      </c>
      <c r="AL25" s="14">
        <v>5</v>
      </c>
      <c r="AM25" s="29">
        <v>1</v>
      </c>
      <c r="AN25" s="30">
        <v>0</v>
      </c>
      <c r="AO25" s="29">
        <v>1</v>
      </c>
      <c r="AP25" s="35">
        <v>0.25</v>
      </c>
      <c r="AQ25" s="35">
        <v>0.666666666666667</v>
      </c>
      <c r="AR25" s="35">
        <v>0</v>
      </c>
      <c r="AS25" s="35">
        <v>0</v>
      </c>
      <c r="AT25" s="35">
        <v>0</v>
      </c>
      <c r="AU25" s="35">
        <v>3</v>
      </c>
      <c r="AV25" s="35">
        <v>96.6666666666667</v>
      </c>
      <c r="AW25" s="35">
        <v>0</v>
      </c>
      <c r="AX25" s="35">
        <v>91.6666666666667</v>
      </c>
      <c r="AY25" s="35">
        <v>98.7179487179487</v>
      </c>
      <c r="AZ25" s="35">
        <v>11.5740740740741</v>
      </c>
      <c r="BA25" s="29" t="s">
        <v>74</v>
      </c>
      <c r="BB25" s="29">
        <v>0</v>
      </c>
      <c r="BC25" s="29">
        <v>0</v>
      </c>
      <c r="BD25" s="36">
        <v>0</v>
      </c>
      <c r="BE25" s="38">
        <v>1475</v>
      </c>
      <c r="BF25" s="36">
        <f t="shared" si="0"/>
        <v>0</v>
      </c>
    </row>
    <row r="26" spans="1:58">
      <c r="A26" s="14" t="s">
        <v>101</v>
      </c>
      <c r="B26" s="14" t="s">
        <v>101</v>
      </c>
      <c r="C26" s="15" t="s">
        <v>73</v>
      </c>
      <c r="D26" s="16">
        <v>61.2210330945001</v>
      </c>
      <c r="E26" s="16">
        <v>0.617957205721727</v>
      </c>
      <c r="F26" s="16">
        <v>20.6956610182702</v>
      </c>
      <c r="G26" s="16">
        <v>0.0145595401203925</v>
      </c>
      <c r="H26" s="16">
        <v>79.1048507528337</v>
      </c>
      <c r="I26" s="16">
        <v>1.02246559358635</v>
      </c>
      <c r="J26" s="16">
        <v>6.40368357280505</v>
      </c>
      <c r="K26" s="16">
        <v>-0.235511376876163</v>
      </c>
      <c r="L26" s="16">
        <v>3.74523837946755</v>
      </c>
      <c r="M26" s="16">
        <v>-0.122584895168026</v>
      </c>
      <c r="N26" s="16">
        <v>3.27443062929852</v>
      </c>
      <c r="O26" s="16">
        <v>0.589319030742634</v>
      </c>
      <c r="P26" s="16">
        <v>5.76930616861524</v>
      </c>
      <c r="Q26" s="16">
        <v>-0.268117271384815</v>
      </c>
      <c r="R26" s="16">
        <v>4.26866046078973</v>
      </c>
      <c r="S26" s="16">
        <v>-0.150739013061372</v>
      </c>
      <c r="T26" s="16">
        <v>8.56653798733417</v>
      </c>
      <c r="U26" s="16">
        <v>-0.43765287226484</v>
      </c>
      <c r="V26" s="16">
        <v>13.5483147248901</v>
      </c>
      <c r="W26" s="16">
        <v>-0.094523009151924</v>
      </c>
      <c r="X26" s="16">
        <v>3.65292702972959</v>
      </c>
      <c r="Y26" s="16">
        <v>-0.185903610346586</v>
      </c>
      <c r="Z26" s="16">
        <v>10.6174946852216</v>
      </c>
      <c r="AA26" s="16">
        <v>-0.747167791994299</v>
      </c>
      <c r="AB26" s="16">
        <v>5.30626247361478</v>
      </c>
      <c r="AC26" s="16">
        <v>-0.112243114683789</v>
      </c>
      <c r="AD26" s="16">
        <v>67.8965358293132</v>
      </c>
      <c r="AE26" s="16">
        <v>0.598847194897577</v>
      </c>
      <c r="AF26" s="16">
        <v>804.704708381411</v>
      </c>
      <c r="AG26" s="16">
        <v>0.717559649296303</v>
      </c>
      <c r="AH26" s="20">
        <v>193.59475447231</v>
      </c>
      <c r="AI26" s="23">
        <v>-0.206151482672622</v>
      </c>
      <c r="AJ26" s="24">
        <v>86</v>
      </c>
      <c r="AK26" s="29">
        <v>1</v>
      </c>
      <c r="AL26" s="14">
        <v>2</v>
      </c>
      <c r="AM26" s="29">
        <v>1</v>
      </c>
      <c r="AN26" s="30">
        <v>0</v>
      </c>
      <c r="AO26" s="29">
        <v>1</v>
      </c>
      <c r="AP26" s="35">
        <v>92.5</v>
      </c>
      <c r="AQ26" s="35">
        <v>91.6666666666667</v>
      </c>
      <c r="AR26" s="35">
        <v>91.6666666666667</v>
      </c>
      <c r="AS26" s="35">
        <v>19</v>
      </c>
      <c r="AT26" s="35">
        <v>25</v>
      </c>
      <c r="AU26" s="35">
        <v>32</v>
      </c>
      <c r="AV26" s="35">
        <v>49</v>
      </c>
      <c r="AW26" s="35">
        <v>41.6666666666667</v>
      </c>
      <c r="AX26" s="35">
        <v>91.6666666666667</v>
      </c>
      <c r="AY26" s="35">
        <v>54.7435897435898</v>
      </c>
      <c r="AZ26" s="35">
        <v>52.8703703703704</v>
      </c>
      <c r="BA26" s="29" t="s">
        <v>82</v>
      </c>
      <c r="BB26" s="29">
        <v>0</v>
      </c>
      <c r="BC26" s="29">
        <v>0</v>
      </c>
      <c r="BD26" s="36">
        <v>1</v>
      </c>
      <c r="BE26" s="38">
        <v>689</v>
      </c>
      <c r="BF26" s="36">
        <f t="shared" si="0"/>
        <v>1</v>
      </c>
    </row>
    <row r="27" spans="1:58">
      <c r="A27" s="14" t="s">
        <v>102</v>
      </c>
      <c r="B27" s="14" t="s">
        <v>102</v>
      </c>
      <c r="C27" s="15" t="s">
        <v>73</v>
      </c>
      <c r="D27" s="16">
        <v>92.721960231884</v>
      </c>
      <c r="E27" s="16">
        <v>1.37690300616826</v>
      </c>
      <c r="F27" s="16">
        <v>155.23379630631</v>
      </c>
      <c r="G27" s="16">
        <v>3.16216077344179</v>
      </c>
      <c r="H27" s="16">
        <v>85.1491268667198</v>
      </c>
      <c r="I27" s="16">
        <v>1.23354378006684</v>
      </c>
      <c r="J27" s="16">
        <v>148.112156749446</v>
      </c>
      <c r="K27" s="16">
        <v>3.89133394233356</v>
      </c>
      <c r="L27" s="16">
        <v>50.2701594190337</v>
      </c>
      <c r="M27" s="16">
        <v>3.63143253159901</v>
      </c>
      <c r="N27" s="16">
        <v>10.0175898511808</v>
      </c>
      <c r="O27" s="16">
        <v>3.84072573390804</v>
      </c>
      <c r="P27" s="16">
        <v>10.8709274418916</v>
      </c>
      <c r="Q27" s="16">
        <v>0.104306663258171</v>
      </c>
      <c r="R27" s="16">
        <v>9.42619232879349</v>
      </c>
      <c r="S27" s="16">
        <v>1.07817621592473</v>
      </c>
      <c r="T27" s="16">
        <v>179.922111424512</v>
      </c>
      <c r="U27" s="16">
        <v>1.23957541852344</v>
      </c>
      <c r="V27" s="16">
        <v>72.6427907910781</v>
      </c>
      <c r="W27" s="16">
        <v>0.832476660980812</v>
      </c>
      <c r="X27" s="16">
        <v>277.391858347176</v>
      </c>
      <c r="Y27" s="16">
        <v>6.70880945157054</v>
      </c>
      <c r="Z27" s="16">
        <v>8.90318029907509</v>
      </c>
      <c r="AA27" s="16">
        <v>-0.905732587116053</v>
      </c>
      <c r="AB27" s="16">
        <v>12.1046144070263</v>
      </c>
      <c r="AC27" s="16">
        <v>0.277872984261746</v>
      </c>
      <c r="AD27" s="16">
        <v>155.911860948584</v>
      </c>
      <c r="AE27" s="16">
        <v>3.83655504673717</v>
      </c>
      <c r="AF27" s="16">
        <v>230.531222736261</v>
      </c>
      <c r="AG27" s="16">
        <v>-1.0068698475317</v>
      </c>
      <c r="AH27" s="20">
        <v>131.567153302473</v>
      </c>
      <c r="AI27" s="23">
        <v>-0.465816852134184</v>
      </c>
      <c r="AJ27" s="24">
        <v>68</v>
      </c>
      <c r="AK27" s="29">
        <v>1</v>
      </c>
      <c r="AL27" s="14">
        <v>5</v>
      </c>
      <c r="AM27" s="29">
        <v>2</v>
      </c>
      <c r="AN27" s="30">
        <v>20</v>
      </c>
      <c r="AO27" s="29">
        <v>1</v>
      </c>
      <c r="AP27" s="35">
        <v>37.5</v>
      </c>
      <c r="AQ27" s="35">
        <v>26.6666666666667</v>
      </c>
      <c r="AR27" s="35">
        <v>40</v>
      </c>
      <c r="AS27" s="35">
        <v>26</v>
      </c>
      <c r="AT27" s="35">
        <v>26</v>
      </c>
      <c r="AU27" s="35">
        <v>15</v>
      </c>
      <c r="AV27" s="35">
        <v>19.6666666666667</v>
      </c>
      <c r="AW27" s="35">
        <v>71.5277777777778</v>
      </c>
      <c r="AX27" s="35">
        <v>8.33333333333333</v>
      </c>
      <c r="AY27" s="35">
        <v>25.0854700854701</v>
      </c>
      <c r="AZ27" s="35">
        <v>54.1975308641975</v>
      </c>
      <c r="BA27" s="29" t="s">
        <v>79</v>
      </c>
      <c r="BB27" s="29">
        <v>0</v>
      </c>
      <c r="BC27" s="29">
        <v>0</v>
      </c>
      <c r="BD27" s="36">
        <v>1</v>
      </c>
      <c r="BE27" s="38">
        <v>1055</v>
      </c>
      <c r="BF27" s="36">
        <f t="shared" si="0"/>
        <v>0</v>
      </c>
    </row>
    <row r="28" spans="1:58">
      <c r="A28" s="14" t="s">
        <v>103</v>
      </c>
      <c r="B28" s="14" t="s">
        <v>103</v>
      </c>
      <c r="C28" s="15" t="s">
        <v>73</v>
      </c>
      <c r="D28" s="16">
        <v>28.8824465661071</v>
      </c>
      <c r="E28" s="16">
        <v>-0.161170161897046</v>
      </c>
      <c r="F28" s="16">
        <v>0.04367910942995</v>
      </c>
      <c r="G28" s="16">
        <v>-0.468606096058716</v>
      </c>
      <c r="H28" s="16">
        <v>29.222284249695</v>
      </c>
      <c r="I28" s="16">
        <v>-0.719533196026445</v>
      </c>
      <c r="J28" s="16">
        <v>0</v>
      </c>
      <c r="K28" s="16">
        <v>-0.421999954345974</v>
      </c>
      <c r="L28" s="16">
        <v>0</v>
      </c>
      <c r="M28" s="16">
        <v>-0.424781864658015</v>
      </c>
      <c r="N28" s="16">
        <v>0.637206359290008</v>
      </c>
      <c r="O28" s="16">
        <v>-0.682293930943097</v>
      </c>
      <c r="P28" s="16">
        <v>7.44546904651357</v>
      </c>
      <c r="Q28" s="16">
        <v>-0.145755547405155</v>
      </c>
      <c r="R28" s="16">
        <v>6.92007663295345</v>
      </c>
      <c r="S28" s="16">
        <v>0.481029397826448</v>
      </c>
      <c r="T28" s="16">
        <v>36.8756833218591</v>
      </c>
      <c r="U28" s="16">
        <v>-0.160562967975794</v>
      </c>
      <c r="V28" s="16">
        <v>0</v>
      </c>
      <c r="W28" s="16">
        <v>-0.307051897076419</v>
      </c>
      <c r="X28" s="16">
        <v>0.823794329809438</v>
      </c>
      <c r="Y28" s="16">
        <v>-0.257161498605878</v>
      </c>
      <c r="Z28" s="16">
        <v>18.9727854433582</v>
      </c>
      <c r="AA28" s="16">
        <v>0.0256513466379462</v>
      </c>
      <c r="AB28" s="16">
        <v>2.50246814675155</v>
      </c>
      <c r="AC28" s="16">
        <v>-0.273135830411823</v>
      </c>
      <c r="AD28" s="16">
        <v>46.567885347886</v>
      </c>
      <c r="AE28" s="16">
        <v>-0.185742750538408</v>
      </c>
      <c r="AF28" s="16">
        <v>722.23410028118</v>
      </c>
      <c r="AG28" s="16">
        <v>0.469873622712218</v>
      </c>
      <c r="AH28" s="20">
        <v>177.39148986747</v>
      </c>
      <c r="AI28" s="23">
        <v>-0.273983006232254</v>
      </c>
      <c r="AJ28" s="24">
        <v>65</v>
      </c>
      <c r="AK28" s="29">
        <v>1</v>
      </c>
      <c r="AL28" s="14">
        <v>1</v>
      </c>
      <c r="AM28" s="29">
        <v>1</v>
      </c>
      <c r="AN28" s="30">
        <v>0</v>
      </c>
      <c r="AO28" s="29">
        <v>1</v>
      </c>
      <c r="AP28" s="35">
        <v>48.75</v>
      </c>
      <c r="AQ28" s="35">
        <v>16.6666666666667</v>
      </c>
      <c r="AR28" s="35">
        <v>65</v>
      </c>
      <c r="AS28" s="35">
        <v>4</v>
      </c>
      <c r="AT28" s="35">
        <v>15</v>
      </c>
      <c r="AU28" s="35">
        <v>24</v>
      </c>
      <c r="AV28" s="35">
        <v>87.3333333333333</v>
      </c>
      <c r="AW28" s="35">
        <v>18.0555555555556</v>
      </c>
      <c r="AX28" s="35">
        <v>58.3333333333333</v>
      </c>
      <c r="AY28" s="35">
        <v>84.017094017094</v>
      </c>
      <c r="AZ28" s="35">
        <v>25.9259259259259</v>
      </c>
      <c r="BA28" s="29">
        <v>5</v>
      </c>
      <c r="BB28" s="29">
        <v>1</v>
      </c>
      <c r="BC28" s="29">
        <v>1</v>
      </c>
      <c r="BD28" s="36">
        <v>1</v>
      </c>
      <c r="BE28" s="38">
        <v>433</v>
      </c>
      <c r="BF28" s="36">
        <f t="shared" si="0"/>
        <v>1</v>
      </c>
    </row>
    <row r="29" spans="1:58">
      <c r="A29" s="14" t="s">
        <v>104</v>
      </c>
      <c r="B29" s="14" t="s">
        <v>104</v>
      </c>
      <c r="C29" s="15" t="s">
        <v>73</v>
      </c>
      <c r="D29" s="16">
        <v>66.7945257264068</v>
      </c>
      <c r="E29" s="16">
        <v>0.752238295556233</v>
      </c>
      <c r="F29" s="16">
        <v>8.65583515643869</v>
      </c>
      <c r="G29" s="16">
        <v>-0.267119484570569</v>
      </c>
      <c r="H29" s="16">
        <v>52.2357044208131</v>
      </c>
      <c r="I29" s="16">
        <v>0.0841413719293925</v>
      </c>
      <c r="J29" s="16">
        <v>3.52637316166279</v>
      </c>
      <c r="K29" s="16">
        <v>-0.319304637335151</v>
      </c>
      <c r="L29" s="16">
        <v>0</v>
      </c>
      <c r="M29" s="16">
        <v>-0.424781864658015</v>
      </c>
      <c r="N29" s="16">
        <v>2.4483269595278</v>
      </c>
      <c r="O29" s="16">
        <v>0.190989565128696</v>
      </c>
      <c r="P29" s="16">
        <v>8.11724215321882</v>
      </c>
      <c r="Q29" s="16">
        <v>-0.0967153756274016</v>
      </c>
      <c r="R29" s="16">
        <v>5.83784812493657</v>
      </c>
      <c r="S29" s="16">
        <v>0.223160492935005</v>
      </c>
      <c r="T29" s="16">
        <v>174.595465145627</v>
      </c>
      <c r="U29" s="16">
        <v>1.18743820667346</v>
      </c>
      <c r="V29" s="16">
        <v>8.41429773365934</v>
      </c>
      <c r="W29" s="16">
        <v>-0.175058997862548</v>
      </c>
      <c r="X29" s="16">
        <v>2.20630875527128</v>
      </c>
      <c r="Y29" s="16">
        <v>-0.222339852223155</v>
      </c>
      <c r="Z29" s="16">
        <v>15.4031860559055</v>
      </c>
      <c r="AA29" s="16">
        <v>-0.304517261939432</v>
      </c>
      <c r="AB29" s="16">
        <v>7.70286284332174</v>
      </c>
      <c r="AC29" s="16">
        <v>0.0252832146559059</v>
      </c>
      <c r="AD29" s="16">
        <v>48.7215858435108</v>
      </c>
      <c r="AE29" s="16">
        <v>-0.106517308880992</v>
      </c>
      <c r="AF29" s="16">
        <v>646.752108034963</v>
      </c>
      <c r="AG29" s="16">
        <v>0.243176679779603</v>
      </c>
      <c r="AH29" s="16">
        <v>162.196654847242</v>
      </c>
      <c r="AI29" s="23">
        <v>-0.337592953659233</v>
      </c>
      <c r="AJ29" s="24">
        <v>60</v>
      </c>
      <c r="AK29" s="29">
        <v>2</v>
      </c>
      <c r="AL29" s="14">
        <v>1</v>
      </c>
      <c r="AM29" s="29">
        <v>3</v>
      </c>
      <c r="AN29" s="30">
        <v>5</v>
      </c>
      <c r="AO29" s="29">
        <v>1</v>
      </c>
      <c r="AP29" s="35">
        <v>75</v>
      </c>
      <c r="AQ29" s="35">
        <v>56.6666666666667</v>
      </c>
      <c r="AR29" s="35">
        <v>81.6666666666667</v>
      </c>
      <c r="AS29" s="35">
        <v>24</v>
      </c>
      <c r="AT29" s="35">
        <v>37</v>
      </c>
      <c r="AU29" s="35">
        <v>29</v>
      </c>
      <c r="AV29" s="35">
        <v>19</v>
      </c>
      <c r="AW29" s="35">
        <v>72.9166666666667</v>
      </c>
      <c r="AX29" s="35">
        <v>25</v>
      </c>
      <c r="AY29" s="35">
        <v>23.974358974359</v>
      </c>
      <c r="AZ29" s="35">
        <v>58.5802469135803</v>
      </c>
      <c r="BA29" s="29">
        <v>4</v>
      </c>
      <c r="BB29" s="29">
        <v>0</v>
      </c>
      <c r="BC29" s="29">
        <v>1</v>
      </c>
      <c r="BD29" s="37">
        <v>0</v>
      </c>
      <c r="BE29" s="38">
        <v>634</v>
      </c>
      <c r="BF29" s="36">
        <f t="shared" si="0"/>
        <v>0</v>
      </c>
    </row>
    <row r="30" spans="1:58">
      <c r="A30" s="14" t="s">
        <v>105</v>
      </c>
      <c r="B30" s="14" t="s">
        <v>105</v>
      </c>
      <c r="C30" s="15" t="s">
        <v>73</v>
      </c>
      <c r="D30" s="20">
        <v>0</v>
      </c>
      <c r="E30" s="20">
        <v>-0.857029411765105</v>
      </c>
      <c r="F30" s="20">
        <v>6.04027585182763</v>
      </c>
      <c r="G30" s="20">
        <v>-0.328312080078104</v>
      </c>
      <c r="H30" s="20">
        <v>15.639078768095</v>
      </c>
      <c r="I30" s="20">
        <v>-1.19388584399054</v>
      </c>
      <c r="J30" s="20">
        <v>2.58723836248506</v>
      </c>
      <c r="K30" s="20">
        <v>-0.346654194938969</v>
      </c>
      <c r="L30" s="20">
        <v>0</v>
      </c>
      <c r="M30" s="20">
        <v>-0.424781864658015</v>
      </c>
      <c r="N30" s="20">
        <v>0.386564557998227</v>
      </c>
      <c r="O30" s="20">
        <v>-0.803148030037923</v>
      </c>
      <c r="P30" s="20">
        <v>16.1541112803494</v>
      </c>
      <c r="Q30" s="20">
        <v>0.489984863807359</v>
      </c>
      <c r="R30" s="20">
        <v>6.02209244423815</v>
      </c>
      <c r="S30" s="20">
        <v>0.267061462553546</v>
      </c>
      <c r="T30" s="20">
        <v>49.6215445827142</v>
      </c>
      <c r="U30" s="20">
        <v>-0.0358064825673638</v>
      </c>
      <c r="V30" s="20">
        <v>19.29666635257</v>
      </c>
      <c r="W30" s="16">
        <v>-0.00435011284435912</v>
      </c>
      <c r="X30" s="16">
        <v>2.87749571139827</v>
      </c>
      <c r="Y30" s="16">
        <v>-0.20543454229473</v>
      </c>
      <c r="Z30" s="16">
        <v>25.3821876601515</v>
      </c>
      <c r="AA30" s="16">
        <v>0.618486335115892</v>
      </c>
      <c r="AB30" s="16">
        <v>1.29836899296844</v>
      </c>
      <c r="AC30" s="16">
        <v>-0.342231762664004</v>
      </c>
      <c r="AD30" s="16">
        <v>41.9143182899422</v>
      </c>
      <c r="AE30" s="16">
        <v>-0.356927604791339</v>
      </c>
      <c r="AF30" s="16">
        <v>152.809504067492</v>
      </c>
      <c r="AG30" s="16">
        <v>-1.24029341648317</v>
      </c>
      <c r="AH30" s="20">
        <v>157.84151108993</v>
      </c>
      <c r="AI30" s="23">
        <v>-0.355824837392802</v>
      </c>
      <c r="AJ30" s="24">
        <v>74</v>
      </c>
      <c r="AK30" s="29">
        <v>2</v>
      </c>
      <c r="AL30" s="14">
        <v>1</v>
      </c>
      <c r="AM30" s="29">
        <v>1</v>
      </c>
      <c r="AN30" s="30">
        <v>0</v>
      </c>
      <c r="AO30" s="29">
        <v>1</v>
      </c>
      <c r="AP30" s="35">
        <v>10</v>
      </c>
      <c r="AQ30" s="35">
        <v>10</v>
      </c>
      <c r="AR30" s="35">
        <v>10</v>
      </c>
      <c r="AS30" s="35">
        <v>18</v>
      </c>
      <c r="AT30" s="35">
        <v>38</v>
      </c>
      <c r="AU30" s="35">
        <v>40</v>
      </c>
      <c r="AV30" s="35">
        <v>36</v>
      </c>
      <c r="AW30" s="35">
        <v>60.4166666666667</v>
      </c>
      <c r="AX30" s="35">
        <v>16.6666666666667</v>
      </c>
      <c r="AY30" s="35">
        <v>38.2051282051282</v>
      </c>
      <c r="AZ30" s="35">
        <v>74.783950617284</v>
      </c>
      <c r="BA30" s="29">
        <v>5</v>
      </c>
      <c r="BB30" s="29">
        <v>1</v>
      </c>
      <c r="BC30" s="29">
        <v>0</v>
      </c>
      <c r="BD30" s="36">
        <v>1</v>
      </c>
      <c r="BE30" s="38">
        <v>665</v>
      </c>
      <c r="BF30" s="36">
        <f t="shared" si="0"/>
        <v>1</v>
      </c>
    </row>
    <row r="31" spans="1:58">
      <c r="A31" s="14" t="s">
        <v>106</v>
      </c>
      <c r="B31" s="14" t="s">
        <v>106</v>
      </c>
      <c r="C31" s="15" t="s">
        <v>73</v>
      </c>
      <c r="D31" s="16">
        <v>18.4382044507689</v>
      </c>
      <c r="E31" s="16">
        <v>-0.412801285568824</v>
      </c>
      <c r="F31" s="16">
        <v>4.68102442712813</v>
      </c>
      <c r="G31" s="16">
        <v>-0.360112591149691</v>
      </c>
      <c r="H31" s="16">
        <v>9.85082352982854</v>
      </c>
      <c r="I31" s="16">
        <v>-1.3960232704679</v>
      </c>
      <c r="J31" s="16">
        <v>5.43646985560932</v>
      </c>
      <c r="K31" s="16">
        <v>-0.263678650942472</v>
      </c>
      <c r="L31" s="16">
        <v>0</v>
      </c>
      <c r="M31" s="16">
        <v>-0.424781864658015</v>
      </c>
      <c r="N31" s="16">
        <v>0.574949754740692</v>
      </c>
      <c r="O31" s="16">
        <v>-0.71231272994922</v>
      </c>
      <c r="P31" s="16">
        <v>8.67776594513699</v>
      </c>
      <c r="Q31" s="16">
        <v>-0.0557965255471983</v>
      </c>
      <c r="R31" s="16">
        <v>3.46605572184983</v>
      </c>
      <c r="S31" s="16">
        <v>-0.341980329990243</v>
      </c>
      <c r="T31" s="16">
        <v>26.1487161438219</v>
      </c>
      <c r="U31" s="16">
        <v>-0.265558518832255</v>
      </c>
      <c r="V31" s="16">
        <v>0</v>
      </c>
      <c r="W31" s="16">
        <v>-0.307051897076419</v>
      </c>
      <c r="X31" s="16">
        <v>1.06069087326301</v>
      </c>
      <c r="Y31" s="16">
        <v>-0.251194741577159</v>
      </c>
      <c r="Z31" s="16">
        <v>15.9294826370255</v>
      </c>
      <c r="AA31" s="16">
        <v>-0.255837678875232</v>
      </c>
      <c r="AB31" s="16">
        <v>3.11638905519851</v>
      </c>
      <c r="AC31" s="16">
        <v>-0.237906640718455</v>
      </c>
      <c r="AD31" s="16">
        <v>27.7129724314492</v>
      </c>
      <c r="AE31" s="16">
        <v>-0.879334457580039</v>
      </c>
      <c r="AF31" s="16">
        <v>290.691718296787</v>
      </c>
      <c r="AG31" s="16">
        <v>-0.826188336312504</v>
      </c>
      <c r="AH31" s="20">
        <v>403.440148242077</v>
      </c>
      <c r="AI31" s="23">
        <v>0.672321659531218</v>
      </c>
      <c r="AJ31" s="24">
        <v>53</v>
      </c>
      <c r="AK31" s="29">
        <v>2</v>
      </c>
      <c r="AL31" s="14">
        <v>1</v>
      </c>
      <c r="AM31" s="29">
        <v>2</v>
      </c>
      <c r="AN31" s="30">
        <v>20</v>
      </c>
      <c r="AO31" s="29">
        <v>3</v>
      </c>
      <c r="AP31" s="35">
        <v>61.25</v>
      </c>
      <c r="AQ31" s="35">
        <v>24.6666666666667</v>
      </c>
      <c r="AR31" s="35">
        <v>89</v>
      </c>
      <c r="AS31" s="35">
        <v>0</v>
      </c>
      <c r="AT31" s="35">
        <v>10</v>
      </c>
      <c r="AU31" s="35">
        <v>23</v>
      </c>
      <c r="AV31" s="35">
        <v>95</v>
      </c>
      <c r="AW31" s="35">
        <v>8.33333333333333</v>
      </c>
      <c r="AX31" s="35">
        <v>83.3333333333333</v>
      </c>
      <c r="AY31" s="35">
        <v>92.9487179487179</v>
      </c>
      <c r="AZ31" s="35">
        <v>13.5802469135802</v>
      </c>
      <c r="BA31" s="29" t="s">
        <v>82</v>
      </c>
      <c r="BB31" s="29">
        <v>1</v>
      </c>
      <c r="BC31" s="29">
        <v>0</v>
      </c>
      <c r="BD31" s="36">
        <v>0</v>
      </c>
      <c r="BE31" s="38">
        <v>1268</v>
      </c>
      <c r="BF31" s="36">
        <f t="shared" si="0"/>
        <v>0</v>
      </c>
    </row>
    <row r="32" spans="1:58">
      <c r="A32" s="14" t="s">
        <v>107</v>
      </c>
      <c r="B32" s="14" t="s">
        <v>107</v>
      </c>
      <c r="C32" s="15" t="s">
        <v>73</v>
      </c>
      <c r="D32" s="16">
        <v>93.5506757450502</v>
      </c>
      <c r="E32" s="16">
        <v>1.3968690902057</v>
      </c>
      <c r="F32" s="16">
        <v>3.27034187125101</v>
      </c>
      <c r="G32" s="16">
        <v>-0.393116364713205</v>
      </c>
      <c r="H32" s="16">
        <v>80.6136501907756</v>
      </c>
      <c r="I32" s="16">
        <v>1.07515588157499</v>
      </c>
      <c r="J32" s="16">
        <v>0</v>
      </c>
      <c r="K32" s="16">
        <v>-0.421999954345974</v>
      </c>
      <c r="L32" s="16">
        <v>0</v>
      </c>
      <c r="M32" s="16">
        <v>-0.424781864658015</v>
      </c>
      <c r="N32" s="16">
        <v>1.43194125163612</v>
      </c>
      <c r="O32" s="16">
        <v>-0.299089816790163</v>
      </c>
      <c r="P32" s="16">
        <v>11.9439151443304</v>
      </c>
      <c r="Q32" s="16">
        <v>0.182635939494146</v>
      </c>
      <c r="R32" s="16">
        <v>9.37254789790553</v>
      </c>
      <c r="S32" s="16">
        <v>1.06539404418916</v>
      </c>
      <c r="T32" s="16">
        <v>17.7874784382266</v>
      </c>
      <c r="U32" s="16">
        <v>-0.34739831046863</v>
      </c>
      <c r="V32" s="16">
        <v>0</v>
      </c>
      <c r="W32" s="16">
        <v>-0.307051897076419</v>
      </c>
      <c r="X32" s="16">
        <v>1.98058226888395</v>
      </c>
      <c r="Y32" s="16">
        <v>-0.228025266959835</v>
      </c>
      <c r="Z32" s="16">
        <v>17.9772311581241</v>
      </c>
      <c r="AA32" s="16">
        <v>-0.066432032318916</v>
      </c>
      <c r="AB32" s="16">
        <v>4.67511046730589</v>
      </c>
      <c r="AC32" s="16">
        <v>-0.14846109235758</v>
      </c>
      <c r="AD32" s="16">
        <v>75.9297176559652</v>
      </c>
      <c r="AE32" s="16">
        <v>0.894353640396256</v>
      </c>
      <c r="AF32" s="16">
        <v>1435.15297487523</v>
      </c>
      <c r="AG32" s="16">
        <v>2.61100059379494</v>
      </c>
      <c r="AH32" s="20">
        <v>127.16189172892</v>
      </c>
      <c r="AI32" s="23">
        <v>-0.484258543453817</v>
      </c>
      <c r="AJ32" s="24">
        <v>51</v>
      </c>
      <c r="AK32" s="29">
        <v>2</v>
      </c>
      <c r="AL32" s="14">
        <v>5</v>
      </c>
      <c r="AM32" s="29">
        <v>1</v>
      </c>
      <c r="AN32" s="30">
        <v>0</v>
      </c>
      <c r="AO32" s="29">
        <v>1</v>
      </c>
      <c r="AP32" s="35">
        <v>100</v>
      </c>
      <c r="AQ32" s="35">
        <v>100</v>
      </c>
      <c r="AR32" s="35">
        <v>100</v>
      </c>
      <c r="AS32" s="35">
        <v>30</v>
      </c>
      <c r="AT32" s="35">
        <v>40</v>
      </c>
      <c r="AU32" s="35">
        <v>39</v>
      </c>
      <c r="AV32" s="35">
        <v>13.3333333333333</v>
      </c>
      <c r="AW32" s="35">
        <v>83.3333333333333</v>
      </c>
      <c r="AX32" s="35">
        <v>0</v>
      </c>
      <c r="AY32" s="35">
        <v>15.3846153846154</v>
      </c>
      <c r="AZ32" s="35">
        <v>62.1296296296296</v>
      </c>
      <c r="BA32" s="29">
        <v>5</v>
      </c>
      <c r="BB32" s="29">
        <v>1</v>
      </c>
      <c r="BC32" s="29">
        <v>0</v>
      </c>
      <c r="BD32" s="36">
        <v>1</v>
      </c>
      <c r="BE32" s="38">
        <v>330</v>
      </c>
      <c r="BF32" s="36">
        <f t="shared" si="0"/>
        <v>1</v>
      </c>
    </row>
    <row r="33" spans="1:58">
      <c r="A33" s="14" t="s">
        <v>108</v>
      </c>
      <c r="B33" s="14" t="s">
        <v>108</v>
      </c>
      <c r="C33" s="15" t="s">
        <v>73</v>
      </c>
      <c r="D33" s="16">
        <v>19.3081194796718</v>
      </c>
      <c r="E33" s="16">
        <v>-0.391842589494522</v>
      </c>
      <c r="F33" s="16">
        <v>11.1757793442953</v>
      </c>
      <c r="G33" s="16">
        <v>-0.20816386268227</v>
      </c>
      <c r="H33" s="16">
        <v>20.6850473520312</v>
      </c>
      <c r="I33" s="16">
        <v>-1.01767054911216</v>
      </c>
      <c r="J33" s="16">
        <v>0</v>
      </c>
      <c r="K33" s="16">
        <v>-0.421999954345974</v>
      </c>
      <c r="L33" s="16">
        <v>0</v>
      </c>
      <c r="M33" s="16">
        <v>-0.424781864658015</v>
      </c>
      <c r="N33" s="16">
        <v>1.067859094397</v>
      </c>
      <c r="O33" s="16">
        <v>-0.474642421674341</v>
      </c>
      <c r="P33" s="16">
        <v>4.76489201872202</v>
      </c>
      <c r="Q33" s="16">
        <v>-0.341440603258506</v>
      </c>
      <c r="R33" s="16">
        <v>6.92007663295345</v>
      </c>
      <c r="S33" s="16">
        <v>0.481029397826448</v>
      </c>
      <c r="T33" s="16">
        <v>13.2570683128449</v>
      </c>
      <c r="U33" s="16">
        <v>-0.391741963136278</v>
      </c>
      <c r="V33" s="16">
        <v>15.9968506984475</v>
      </c>
      <c r="W33" s="16">
        <v>-0.0561134624245176</v>
      </c>
      <c r="X33" s="16">
        <v>1.06069087326301</v>
      </c>
      <c r="Y33" s="16">
        <v>-0.251194741577159</v>
      </c>
      <c r="Z33" s="16">
        <v>47.5884896642434</v>
      </c>
      <c r="AA33" s="16">
        <v>2.67244898989215</v>
      </c>
      <c r="AB33" s="16">
        <v>2.50246814675155</v>
      </c>
      <c r="AC33" s="16">
        <v>-0.273135830411823</v>
      </c>
      <c r="AD33" s="16">
        <v>41.1999733825376</v>
      </c>
      <c r="AE33" s="16">
        <v>-0.383205302595572</v>
      </c>
      <c r="AF33" s="16">
        <v>441.86365417795</v>
      </c>
      <c r="AG33" s="16">
        <v>-0.372169904874208</v>
      </c>
      <c r="AH33" s="16">
        <v>284.211711258249</v>
      </c>
      <c r="AI33" s="23">
        <v>0.173197147929353</v>
      </c>
      <c r="AJ33" s="24">
        <v>66</v>
      </c>
      <c r="AK33" s="29">
        <v>2</v>
      </c>
      <c r="AL33" s="14">
        <v>1</v>
      </c>
      <c r="AM33" s="29">
        <v>2</v>
      </c>
      <c r="AN33" s="30">
        <v>20</v>
      </c>
      <c r="AO33" s="29">
        <v>1</v>
      </c>
      <c r="AP33" s="35">
        <v>60</v>
      </c>
      <c r="AQ33" s="35">
        <v>26.6666666666667</v>
      </c>
      <c r="AR33" s="35">
        <v>80</v>
      </c>
      <c r="AS33" s="35">
        <v>24</v>
      </c>
      <c r="AT33" s="35">
        <v>25</v>
      </c>
      <c r="AU33" s="35">
        <v>22</v>
      </c>
      <c r="AV33" s="35">
        <v>59</v>
      </c>
      <c r="AW33" s="35">
        <v>40.2777777777778</v>
      </c>
      <c r="AX33" s="35">
        <v>41.6666666666667</v>
      </c>
      <c r="AY33" s="35">
        <v>59.4444444444444</v>
      </c>
      <c r="AZ33" s="35">
        <v>25.1543209876543</v>
      </c>
      <c r="BA33" s="29" t="s">
        <v>74</v>
      </c>
      <c r="BB33" s="29">
        <v>0</v>
      </c>
      <c r="BC33" s="29">
        <v>0</v>
      </c>
      <c r="BD33" s="36">
        <v>0</v>
      </c>
      <c r="BE33" s="38">
        <v>1274</v>
      </c>
      <c r="BF33" s="36">
        <f t="shared" si="0"/>
        <v>0</v>
      </c>
    </row>
    <row r="34" spans="1:58">
      <c r="A34" s="14" t="s">
        <v>109</v>
      </c>
      <c r="B34" s="14" t="s">
        <v>109</v>
      </c>
      <c r="C34" s="15" t="s">
        <v>73</v>
      </c>
      <c r="D34" s="16">
        <v>46.88154906222</v>
      </c>
      <c r="E34" s="16">
        <v>0.272478765058507</v>
      </c>
      <c r="F34" s="16">
        <v>6.04027585182763</v>
      </c>
      <c r="G34" s="16">
        <v>-0.328312080078104</v>
      </c>
      <c r="H34" s="16">
        <v>24.0829105132937</v>
      </c>
      <c r="I34" s="16">
        <v>-0.899010385268813</v>
      </c>
      <c r="J34" s="16">
        <v>0.762738344395479</v>
      </c>
      <c r="K34" s="16">
        <v>-0.399787428194298</v>
      </c>
      <c r="L34" s="16">
        <v>0</v>
      </c>
      <c r="M34" s="16">
        <v>-0.424781864658015</v>
      </c>
      <c r="N34" s="16">
        <v>1.43194125163612</v>
      </c>
      <c r="O34" s="16">
        <v>-0.299089816790163</v>
      </c>
      <c r="P34" s="16">
        <v>7.66929563332279</v>
      </c>
      <c r="Q34" s="16">
        <v>-0.129415961678975</v>
      </c>
      <c r="R34" s="16">
        <v>4.3466532697167</v>
      </c>
      <c r="S34" s="16">
        <v>-0.1321552111393</v>
      </c>
      <c r="T34" s="16">
        <v>3.1777528418217</v>
      </c>
      <c r="U34" s="16">
        <v>-0.490398299318876</v>
      </c>
      <c r="V34" s="16">
        <v>0</v>
      </c>
      <c r="W34" s="16">
        <v>-0.307051897076419</v>
      </c>
      <c r="X34" s="16">
        <v>1.06069087326301</v>
      </c>
      <c r="Y34" s="16">
        <v>-0.251194741577159</v>
      </c>
      <c r="Z34" s="16">
        <v>16.2310942021334</v>
      </c>
      <c r="AA34" s="16">
        <v>-0.227940242784068</v>
      </c>
      <c r="AB34" s="16">
        <v>1.74542749223069</v>
      </c>
      <c r="AC34" s="16">
        <v>-0.316577792489925</v>
      </c>
      <c r="AD34" s="16">
        <v>34.7906538110407</v>
      </c>
      <c r="AE34" s="16">
        <v>-0.618976792088612</v>
      </c>
      <c r="AF34" s="16">
        <v>406.865500136569</v>
      </c>
      <c r="AG34" s="16">
        <v>-0.477280730560761</v>
      </c>
      <c r="AH34" s="20">
        <v>205.430885741513</v>
      </c>
      <c r="AI34" s="23">
        <v>-0.156602034668051</v>
      </c>
      <c r="AJ34" s="24">
        <v>50</v>
      </c>
      <c r="AK34" s="29">
        <v>2</v>
      </c>
      <c r="AL34" s="14">
        <v>1</v>
      </c>
      <c r="AM34" s="29">
        <v>1</v>
      </c>
      <c r="AN34" s="30">
        <v>0</v>
      </c>
      <c r="AO34" s="29">
        <v>2</v>
      </c>
      <c r="AP34" s="35">
        <v>95</v>
      </c>
      <c r="AQ34" s="35">
        <v>86.6666666666667</v>
      </c>
      <c r="AR34" s="35">
        <v>100</v>
      </c>
      <c r="AS34" s="35">
        <v>20</v>
      </c>
      <c r="AT34" s="35">
        <v>40</v>
      </c>
      <c r="AU34" s="35">
        <v>36</v>
      </c>
      <c r="AV34" s="35">
        <v>20.6666666666667</v>
      </c>
      <c r="AW34" s="35">
        <v>60.4166666666667</v>
      </c>
      <c r="AX34" s="35">
        <v>0</v>
      </c>
      <c r="AY34" s="35">
        <v>32.3076923076923</v>
      </c>
      <c r="AZ34" s="35">
        <v>56.9444444444444</v>
      </c>
      <c r="BA34" s="29">
        <v>4</v>
      </c>
      <c r="BB34" s="29">
        <v>1</v>
      </c>
      <c r="BC34" s="29">
        <v>0</v>
      </c>
      <c r="BD34" s="36">
        <v>0</v>
      </c>
      <c r="BE34" s="38">
        <v>1282</v>
      </c>
      <c r="BF34" s="36">
        <f t="shared" si="0"/>
        <v>0</v>
      </c>
    </row>
    <row r="35" spans="1:58">
      <c r="A35" s="14" t="s">
        <v>110</v>
      </c>
      <c r="B35" s="14" t="s">
        <v>110</v>
      </c>
      <c r="C35" s="15" t="s">
        <v>73</v>
      </c>
      <c r="D35" s="16">
        <v>0</v>
      </c>
      <c r="E35" s="16">
        <v>-0.857029411765105</v>
      </c>
      <c r="F35" s="16">
        <v>0</v>
      </c>
      <c r="G35" s="16">
        <v>-0.469627995302509</v>
      </c>
      <c r="H35" s="16">
        <v>20.1212007028256</v>
      </c>
      <c r="I35" s="16">
        <v>-1.03736119955978</v>
      </c>
      <c r="J35" s="16">
        <v>0</v>
      </c>
      <c r="K35" s="16">
        <v>-0.421999954345974</v>
      </c>
      <c r="L35" s="16">
        <v>0</v>
      </c>
      <c r="M35" s="16">
        <v>-0.424781864658015</v>
      </c>
      <c r="N35" s="16">
        <v>0</v>
      </c>
      <c r="O35" s="16">
        <v>-0.989541166211084</v>
      </c>
      <c r="P35" s="16">
        <v>8.11724215321882</v>
      </c>
      <c r="Q35" s="16">
        <v>-0.0967153756274016</v>
      </c>
      <c r="R35" s="16">
        <v>7.39742836641811</v>
      </c>
      <c r="S35" s="16">
        <v>0.59477078224269</v>
      </c>
      <c r="T35" s="16">
        <v>40.7269771351748</v>
      </c>
      <c r="U35" s="16">
        <v>-0.122866505524871</v>
      </c>
      <c r="V35" s="16">
        <v>0</v>
      </c>
      <c r="W35" s="16">
        <v>-0.307051897076419</v>
      </c>
      <c r="X35" s="16">
        <v>0</v>
      </c>
      <c r="Y35" s="16">
        <v>-0.277910558663702</v>
      </c>
      <c r="Z35" s="16">
        <v>17.2915943941397</v>
      </c>
      <c r="AA35" s="16">
        <v>-0.129849719230771</v>
      </c>
      <c r="AB35" s="16">
        <v>0.430024857335553</v>
      </c>
      <c r="AC35" s="16">
        <v>-0.392060755051184</v>
      </c>
      <c r="AD35" s="16">
        <v>34.0807622892509</v>
      </c>
      <c r="AE35" s="16">
        <v>-0.645090668858806</v>
      </c>
      <c r="AF35" s="16">
        <v>492.11375287376</v>
      </c>
      <c r="AG35" s="16">
        <v>-0.221252534817998</v>
      </c>
      <c r="AH35" s="20">
        <v>173.057495472001</v>
      </c>
      <c r="AI35" s="23">
        <v>-0.292126352657378</v>
      </c>
      <c r="AJ35" s="24">
        <v>50</v>
      </c>
      <c r="AK35" s="29">
        <v>1</v>
      </c>
      <c r="AL35" s="14">
        <v>2</v>
      </c>
      <c r="AM35" s="29">
        <v>1</v>
      </c>
      <c r="AN35" s="30">
        <v>0</v>
      </c>
      <c r="AO35" s="29">
        <v>1</v>
      </c>
      <c r="AP35" s="35">
        <v>71.875</v>
      </c>
      <c r="AQ35" s="35">
        <v>63.3333333333333</v>
      </c>
      <c r="AR35" s="35">
        <v>76.6666666666667</v>
      </c>
      <c r="AS35" s="35">
        <v>15</v>
      </c>
      <c r="AT35" s="35">
        <v>27</v>
      </c>
      <c r="AU35" s="35">
        <v>28</v>
      </c>
      <c r="AV35" s="35">
        <v>77</v>
      </c>
      <c r="AW35" s="35">
        <v>24.3055555555556</v>
      </c>
      <c r="AX35" s="35">
        <v>58.3333333333333</v>
      </c>
      <c r="AY35" s="35">
        <v>76.1965811965812</v>
      </c>
      <c r="AZ35" s="35">
        <v>38.5185185185185</v>
      </c>
      <c r="BA35" s="29">
        <v>4</v>
      </c>
      <c r="BB35" s="29">
        <v>0</v>
      </c>
      <c r="BC35" s="29">
        <v>0</v>
      </c>
      <c r="BD35" s="37">
        <v>0</v>
      </c>
      <c r="BE35" s="38">
        <v>765</v>
      </c>
      <c r="BF35" s="36">
        <f t="shared" si="0"/>
        <v>0</v>
      </c>
    </row>
    <row r="36" spans="1:58">
      <c r="A36" s="14" t="s">
        <v>111</v>
      </c>
      <c r="B36" s="14" t="s">
        <v>111</v>
      </c>
      <c r="C36" s="15" t="s">
        <v>73</v>
      </c>
      <c r="D36" s="16">
        <v>6.56370467094318</v>
      </c>
      <c r="E36" s="16">
        <v>-0.698891333045771</v>
      </c>
      <c r="F36" s="16">
        <v>25.2391216641841</v>
      </c>
      <c r="G36" s="16">
        <v>0.120856556219271</v>
      </c>
      <c r="H36" s="16">
        <v>14.8049276278072</v>
      </c>
      <c r="I36" s="16">
        <v>-1.22301606680384</v>
      </c>
      <c r="J36" s="16">
        <v>134.750140656185</v>
      </c>
      <c r="K36" s="16">
        <v>3.50220425704691</v>
      </c>
      <c r="L36" s="16">
        <v>35.1502227668176</v>
      </c>
      <c r="M36" s="16">
        <v>2.4114303388868</v>
      </c>
      <c r="N36" s="16">
        <v>0.88424075483402</v>
      </c>
      <c r="O36" s="16">
        <v>-0.563179245503413</v>
      </c>
      <c r="P36" s="16">
        <v>1.62625312285086</v>
      </c>
      <c r="Q36" s="16">
        <v>-0.570564676648054</v>
      </c>
      <c r="R36" s="16">
        <v>3.23427166836009</v>
      </c>
      <c r="S36" s="16">
        <v>-0.397208869621142</v>
      </c>
      <c r="T36" s="16">
        <v>2.07411391443778</v>
      </c>
      <c r="U36" s="16">
        <v>-0.501200716740695</v>
      </c>
      <c r="V36" s="16">
        <v>17.6932250118603</v>
      </c>
      <c r="W36" s="16">
        <v>-0.0295028799532556</v>
      </c>
      <c r="X36" s="16">
        <v>3.65292702972959</v>
      </c>
      <c r="Y36" s="16">
        <v>-0.185903610346586</v>
      </c>
      <c r="Z36" s="16">
        <v>15.6285022617333</v>
      </c>
      <c r="AA36" s="16">
        <v>-0.283676733327288</v>
      </c>
      <c r="AB36" s="16">
        <v>7.22022568821666</v>
      </c>
      <c r="AC36" s="16">
        <v>-0.00241239833971034</v>
      </c>
      <c r="AD36" s="16">
        <v>20.6846703146951</v>
      </c>
      <c r="AE36" s="16">
        <v>-1.13787567091623</v>
      </c>
      <c r="AF36" s="16">
        <v>191.921457875171</v>
      </c>
      <c r="AG36" s="16">
        <v>-1.12282751373645</v>
      </c>
      <c r="AH36" s="20">
        <v>135.96447873826</v>
      </c>
      <c r="AI36" s="23">
        <v>-0.447408383768626</v>
      </c>
      <c r="AJ36" s="24">
        <v>70</v>
      </c>
      <c r="AK36" s="29">
        <v>2</v>
      </c>
      <c r="AL36" s="14">
        <v>3</v>
      </c>
      <c r="AM36" s="29">
        <v>2</v>
      </c>
      <c r="AN36" s="30">
        <v>10</v>
      </c>
      <c r="AO36" s="29">
        <v>1</v>
      </c>
      <c r="AP36" s="35">
        <v>2.375</v>
      </c>
      <c r="AQ36" s="35">
        <v>3</v>
      </c>
      <c r="AR36" s="35">
        <v>2</v>
      </c>
      <c r="AS36" s="35">
        <v>8</v>
      </c>
      <c r="AT36" s="35">
        <v>6</v>
      </c>
      <c r="AU36" s="35">
        <v>12</v>
      </c>
      <c r="AV36" s="35">
        <v>86</v>
      </c>
      <c r="AW36" s="35">
        <v>9.02777777777778</v>
      </c>
      <c r="AX36" s="35">
        <v>83.3333333333333</v>
      </c>
      <c r="AY36" s="35">
        <v>89.0598290598291</v>
      </c>
      <c r="AZ36" s="35">
        <v>19.9074074074074</v>
      </c>
      <c r="BA36" s="29" t="s">
        <v>79</v>
      </c>
      <c r="BB36" s="29">
        <v>0</v>
      </c>
      <c r="BC36" s="29">
        <v>0</v>
      </c>
      <c r="BD36" s="36">
        <v>0</v>
      </c>
      <c r="BE36" s="38">
        <v>1123</v>
      </c>
      <c r="BF36" s="36">
        <f t="shared" si="0"/>
        <v>0</v>
      </c>
    </row>
    <row r="37" spans="1:58">
      <c r="A37" s="14" t="s">
        <v>112</v>
      </c>
      <c r="B37" s="14" t="s">
        <v>112</v>
      </c>
      <c r="C37" s="15" t="s">
        <v>73</v>
      </c>
      <c r="D37" s="16">
        <v>57.6614111788733</v>
      </c>
      <c r="E37" s="16">
        <v>0.53219591710123</v>
      </c>
      <c r="F37" s="16">
        <v>8.65583515643869</v>
      </c>
      <c r="G37" s="16">
        <v>-0.267119484570569</v>
      </c>
      <c r="H37" s="16">
        <v>29.222284249695</v>
      </c>
      <c r="I37" s="16">
        <v>-0.719533196026445</v>
      </c>
      <c r="J37" s="16">
        <v>14.327144325835</v>
      </c>
      <c r="K37" s="16">
        <v>-0.00476372864044898</v>
      </c>
      <c r="L37" s="16">
        <v>3.53729982013878</v>
      </c>
      <c r="M37" s="16">
        <v>-0.139363106887143</v>
      </c>
      <c r="N37" s="16">
        <v>1.3715100559069</v>
      </c>
      <c r="O37" s="16">
        <v>-0.32822844282715</v>
      </c>
      <c r="P37" s="16">
        <v>8.45347452426004</v>
      </c>
      <c r="Q37" s="16">
        <v>-0.0721700446688979</v>
      </c>
      <c r="R37" s="16">
        <v>3.15714452728011</v>
      </c>
      <c r="S37" s="16">
        <v>-0.415586403811354</v>
      </c>
      <c r="T37" s="16">
        <v>20.8202619063312</v>
      </c>
      <c r="U37" s="16">
        <v>-0.317713426980408</v>
      </c>
      <c r="V37" s="16">
        <v>9.24896096276942</v>
      </c>
      <c r="W37" s="16">
        <v>-0.161965852960301</v>
      </c>
      <c r="X37" s="16">
        <v>8.58660695705481</v>
      </c>
      <c r="Y37" s="16">
        <v>-0.0616381020590571</v>
      </c>
      <c r="Z37" s="16">
        <v>12.7288150224262</v>
      </c>
      <c r="AA37" s="16">
        <v>-0.551882096785399</v>
      </c>
      <c r="AB37" s="16">
        <v>1.8957584930192</v>
      </c>
      <c r="AC37" s="16">
        <v>-0.307951210025141</v>
      </c>
      <c r="AD37" s="16">
        <v>44.0599141118344</v>
      </c>
      <c r="AE37" s="16">
        <v>-0.278000299461263</v>
      </c>
      <c r="AF37" s="16">
        <v>282.719623677762</v>
      </c>
      <c r="AG37" s="16">
        <v>-0.850131126176971</v>
      </c>
      <c r="AH37" s="16">
        <v>71.2622366769166</v>
      </c>
      <c r="AI37" s="23">
        <v>-0.718270568876312</v>
      </c>
      <c r="AJ37" s="24">
        <v>62</v>
      </c>
      <c r="AK37" s="29">
        <v>1</v>
      </c>
      <c r="AL37" s="14">
        <v>1</v>
      </c>
      <c r="AM37" s="29">
        <v>2</v>
      </c>
      <c r="AN37" s="30">
        <v>48</v>
      </c>
      <c r="AO37" s="29">
        <v>3</v>
      </c>
      <c r="AP37" s="35">
        <v>3.75</v>
      </c>
      <c r="AQ37" s="35">
        <v>0</v>
      </c>
      <c r="AR37" s="35">
        <v>0</v>
      </c>
      <c r="AS37" s="35">
        <v>0</v>
      </c>
      <c r="AT37" s="35">
        <v>0</v>
      </c>
      <c r="AU37" s="35">
        <v>0</v>
      </c>
      <c r="AV37" s="35">
        <v>90</v>
      </c>
      <c r="AW37" s="35">
        <v>20.8333333333333</v>
      </c>
      <c r="AX37" s="35">
        <v>75</v>
      </c>
      <c r="AY37" s="35">
        <v>83.3333333333333</v>
      </c>
      <c r="AZ37" s="35">
        <v>19.7530864197531</v>
      </c>
      <c r="BA37" s="29" t="s">
        <v>82</v>
      </c>
      <c r="BB37" s="29">
        <v>0</v>
      </c>
      <c r="BC37" s="29">
        <v>0</v>
      </c>
      <c r="BD37" s="36">
        <v>0</v>
      </c>
      <c r="BE37" s="38">
        <v>1094</v>
      </c>
      <c r="BF37" s="36">
        <f t="shared" si="0"/>
        <v>0</v>
      </c>
    </row>
    <row r="38" spans="1:58">
      <c r="A38" s="14" t="s">
        <v>113</v>
      </c>
      <c r="B38" s="14" t="s">
        <v>113</v>
      </c>
      <c r="C38" s="15" t="s">
        <v>73</v>
      </c>
      <c r="D38" s="16">
        <v>33.6644968941375</v>
      </c>
      <c r="E38" s="16">
        <v>-0.0459571398118792</v>
      </c>
      <c r="F38" s="16">
        <v>126.165049763175</v>
      </c>
      <c r="G38" s="16">
        <v>2.48207982632305</v>
      </c>
      <c r="H38" s="16">
        <v>167.770733909878</v>
      </c>
      <c r="I38" s="16">
        <v>4.1188552135912</v>
      </c>
      <c r="J38" s="16">
        <v>134.194625437425</v>
      </c>
      <c r="K38" s="16">
        <v>3.48602649908439</v>
      </c>
      <c r="L38" s="16">
        <v>70.3665023353425</v>
      </c>
      <c r="M38" s="16">
        <v>5.25297255437414</v>
      </c>
      <c r="N38" s="16">
        <v>7.50311187491379</v>
      </c>
      <c r="O38" s="16">
        <v>2.62829840155829</v>
      </c>
      <c r="P38" s="16">
        <v>6.43930966526363</v>
      </c>
      <c r="Q38" s="16">
        <v>-0.219206283077347</v>
      </c>
      <c r="R38" s="16">
        <v>6.04843139864727</v>
      </c>
      <c r="S38" s="16">
        <v>0.273337398993172</v>
      </c>
      <c r="T38" s="16">
        <v>37.6451354508794</v>
      </c>
      <c r="U38" s="16">
        <v>-0.153031570815414</v>
      </c>
      <c r="V38" s="16">
        <v>54.2647484917202</v>
      </c>
      <c r="W38" s="16">
        <v>0.544185093252742</v>
      </c>
      <c r="X38" s="16">
        <v>223.833839394319</v>
      </c>
      <c r="Y38" s="16">
        <v>5.3598337283606</v>
      </c>
      <c r="Z38" s="16">
        <v>55.0507034189762</v>
      </c>
      <c r="AA38" s="16">
        <v>3.36266334306787</v>
      </c>
      <c r="AB38" s="16">
        <v>174.218933167323</v>
      </c>
      <c r="AC38" s="16">
        <v>9.58062845168037</v>
      </c>
      <c r="AD38" s="16">
        <v>92.8530094122356</v>
      </c>
      <c r="AE38" s="16">
        <v>1.51688925591547</v>
      </c>
      <c r="AF38" s="16">
        <v>350.069275437644</v>
      </c>
      <c r="AG38" s="16">
        <v>-0.647858243503995</v>
      </c>
      <c r="AH38" s="20">
        <v>138.160256262349</v>
      </c>
      <c r="AI38" s="23">
        <v>-0.438216227836515</v>
      </c>
      <c r="AJ38" s="24">
        <v>48</v>
      </c>
      <c r="AK38" s="29">
        <v>2</v>
      </c>
      <c r="AL38" s="14">
        <v>2</v>
      </c>
      <c r="AM38" s="29">
        <v>1</v>
      </c>
      <c r="AN38" s="30">
        <v>0</v>
      </c>
      <c r="AO38" s="29">
        <v>1</v>
      </c>
      <c r="AP38" s="35">
        <v>56.25</v>
      </c>
      <c r="AQ38" s="35">
        <v>46.6666666666667</v>
      </c>
      <c r="AR38" s="35">
        <v>46.6666666666667</v>
      </c>
      <c r="AS38" s="35">
        <v>9</v>
      </c>
      <c r="AT38" s="35">
        <v>0</v>
      </c>
      <c r="AU38" s="35">
        <v>20</v>
      </c>
      <c r="AV38" s="35">
        <v>83.6666666666667</v>
      </c>
      <c r="AW38" s="35">
        <v>23.6111111111111</v>
      </c>
      <c r="AX38" s="35">
        <v>75</v>
      </c>
      <c r="AY38" s="35">
        <v>79.1880341880342</v>
      </c>
      <c r="AZ38" s="35">
        <v>27.4691358024691</v>
      </c>
      <c r="BA38" s="29">
        <v>4</v>
      </c>
      <c r="BB38" s="29">
        <v>1</v>
      </c>
      <c r="BC38" s="29">
        <v>1</v>
      </c>
      <c r="BD38" s="36">
        <v>1</v>
      </c>
      <c r="BE38" s="38">
        <v>618</v>
      </c>
      <c r="BF38" s="36">
        <f t="shared" si="0"/>
        <v>1</v>
      </c>
    </row>
    <row r="39" spans="1:58">
      <c r="A39" s="14" t="s">
        <v>114</v>
      </c>
      <c r="B39" s="14" t="s">
        <v>114</v>
      </c>
      <c r="C39" s="15" t="s">
        <v>73</v>
      </c>
      <c r="D39" s="16">
        <v>18.4382044507689</v>
      </c>
      <c r="E39" s="16">
        <v>-0.412801285568824</v>
      </c>
      <c r="F39" s="16">
        <v>0</v>
      </c>
      <c r="G39" s="16">
        <v>-0.469627995302509</v>
      </c>
      <c r="H39" s="16">
        <v>18.434226708794</v>
      </c>
      <c r="I39" s="16">
        <v>-1.09627369868964</v>
      </c>
      <c r="J39" s="16">
        <v>0</v>
      </c>
      <c r="K39" s="16">
        <v>-0.421999954345974</v>
      </c>
      <c r="L39" s="16">
        <v>0</v>
      </c>
      <c r="M39" s="16">
        <v>-0.424781864658015</v>
      </c>
      <c r="N39" s="16">
        <v>0.323081343600532</v>
      </c>
      <c r="O39" s="16">
        <v>-0.833758273996175</v>
      </c>
      <c r="P39" s="16">
        <v>11.8308214806123</v>
      </c>
      <c r="Q39" s="16">
        <v>0.174379978306727</v>
      </c>
      <c r="R39" s="16">
        <v>5.99575804279891</v>
      </c>
      <c r="S39" s="16">
        <v>0.260786610976634</v>
      </c>
      <c r="T39" s="16">
        <v>49.4276650346052</v>
      </c>
      <c r="U39" s="16">
        <v>-0.0377041755140883</v>
      </c>
      <c r="V39" s="16">
        <v>0</v>
      </c>
      <c r="W39" s="16">
        <v>-0.307051897076419</v>
      </c>
      <c r="X39" s="16">
        <v>0</v>
      </c>
      <c r="Y39" s="16">
        <v>-0.277910558663702</v>
      </c>
      <c r="Z39" s="16">
        <v>13.3921324752233</v>
      </c>
      <c r="AA39" s="16">
        <v>-0.490528825265652</v>
      </c>
      <c r="AB39" s="16">
        <v>0.430024857335553</v>
      </c>
      <c r="AC39" s="16">
        <v>-0.392060755051184</v>
      </c>
      <c r="AD39" s="16">
        <v>22.4369286458119</v>
      </c>
      <c r="AE39" s="16">
        <v>-1.07341757172248</v>
      </c>
      <c r="AF39" s="16">
        <v>234.570404902569</v>
      </c>
      <c r="AG39" s="16">
        <v>-0.994738871363731</v>
      </c>
      <c r="AH39" s="20">
        <v>118.326296804274</v>
      </c>
      <c r="AI39" s="23">
        <v>-0.521246883761205</v>
      </c>
      <c r="AJ39" s="24">
        <v>61</v>
      </c>
      <c r="AK39" s="29">
        <v>2</v>
      </c>
      <c r="AL39" s="14">
        <v>5</v>
      </c>
      <c r="AM39" s="29">
        <v>1</v>
      </c>
      <c r="AN39" s="30">
        <v>0</v>
      </c>
      <c r="AO39" s="29">
        <v>1</v>
      </c>
      <c r="AP39" s="35">
        <v>97.5</v>
      </c>
      <c r="AQ39" s="35">
        <v>100</v>
      </c>
      <c r="AR39" s="35">
        <v>93.3333333333333</v>
      </c>
      <c r="AS39" s="35">
        <v>20</v>
      </c>
      <c r="AT39" s="35">
        <v>40</v>
      </c>
      <c r="AU39" s="35">
        <v>40</v>
      </c>
      <c r="AV39" s="35">
        <v>12.6666666666667</v>
      </c>
      <c r="AW39" s="35">
        <v>66.6666666666667</v>
      </c>
      <c r="AX39" s="35">
        <v>0</v>
      </c>
      <c r="AY39" s="35">
        <v>25.3846153846154</v>
      </c>
      <c r="AZ39" s="35">
        <v>60.2777777777778</v>
      </c>
      <c r="BA39" s="29">
        <v>4</v>
      </c>
      <c r="BB39" s="29">
        <v>1</v>
      </c>
      <c r="BC39" s="29">
        <v>1</v>
      </c>
      <c r="BD39" s="36">
        <v>1</v>
      </c>
      <c r="BE39" s="38">
        <v>490</v>
      </c>
      <c r="BF39" s="36">
        <f t="shared" si="0"/>
        <v>1</v>
      </c>
    </row>
    <row r="40" spans="1:58">
      <c r="A40" s="14" t="s">
        <v>115</v>
      </c>
      <c r="B40" s="14" t="s">
        <v>115</v>
      </c>
      <c r="C40" s="15" t="s">
        <v>73</v>
      </c>
      <c r="D40" s="16">
        <v>17.5252290154163</v>
      </c>
      <c r="E40" s="16">
        <v>-0.434797427763299</v>
      </c>
      <c r="F40" s="16">
        <v>0.04367910942995</v>
      </c>
      <c r="G40" s="16">
        <v>-0.468606096058716</v>
      </c>
      <c r="H40" s="16">
        <v>42.5442192895701</v>
      </c>
      <c r="I40" s="16">
        <v>-0.254304633392194</v>
      </c>
      <c r="J40" s="16">
        <v>0</v>
      </c>
      <c r="K40" s="16">
        <v>-0.421999954345974</v>
      </c>
      <c r="L40" s="16">
        <v>0</v>
      </c>
      <c r="M40" s="16">
        <v>-0.424781864658015</v>
      </c>
      <c r="N40" s="16">
        <v>1.49228427036237</v>
      </c>
      <c r="O40" s="16">
        <v>-0.269993707812182</v>
      </c>
      <c r="P40" s="16">
        <v>0.473109597805682</v>
      </c>
      <c r="Q40" s="16">
        <v>-0.654745415632938</v>
      </c>
      <c r="R40" s="16">
        <v>1.78251194915546</v>
      </c>
      <c r="S40" s="16">
        <v>-0.743128133606163</v>
      </c>
      <c r="T40" s="16">
        <v>0.254688770504788</v>
      </c>
      <c r="U40" s="16">
        <v>-0.519009249391048</v>
      </c>
      <c r="V40" s="16">
        <v>10.7958842453292</v>
      </c>
      <c r="W40" s="16">
        <v>-0.137699669924049</v>
      </c>
      <c r="X40" s="16">
        <v>0.458080546304277</v>
      </c>
      <c r="Y40" s="16">
        <v>-0.266372799270788</v>
      </c>
      <c r="Z40" s="16">
        <v>13.0231712351441</v>
      </c>
      <c r="AA40" s="16">
        <v>-0.52465574149164</v>
      </c>
      <c r="AB40" s="16">
        <v>3.42562526148239</v>
      </c>
      <c r="AC40" s="16">
        <v>-0.22016145429242</v>
      </c>
      <c r="AD40" s="16">
        <v>35.5010048584032</v>
      </c>
      <c r="AE40" s="16">
        <v>-0.592846011335471</v>
      </c>
      <c r="AF40" s="16">
        <v>605.005990895294</v>
      </c>
      <c r="AG40" s="16">
        <v>0.11779952884273</v>
      </c>
      <c r="AH40" s="20">
        <v>83.717804879729</v>
      </c>
      <c r="AI40" s="23">
        <v>-0.666127979799214</v>
      </c>
      <c r="AJ40" s="24">
        <v>60</v>
      </c>
      <c r="AK40" s="29">
        <v>1</v>
      </c>
      <c r="AL40" s="14">
        <v>4</v>
      </c>
      <c r="AM40" s="29">
        <v>1</v>
      </c>
      <c r="AN40" s="30">
        <v>0</v>
      </c>
      <c r="AO40" s="29">
        <v>1</v>
      </c>
      <c r="AP40" s="35">
        <v>71.25</v>
      </c>
      <c r="AQ40" s="35">
        <v>65</v>
      </c>
      <c r="AR40" s="35">
        <v>68.3333333333333</v>
      </c>
      <c r="AS40" s="35">
        <v>8</v>
      </c>
      <c r="AT40" s="35">
        <v>26</v>
      </c>
      <c r="AU40" s="35">
        <v>29</v>
      </c>
      <c r="AV40" s="35">
        <v>45</v>
      </c>
      <c r="AW40" s="35">
        <v>31.25</v>
      </c>
      <c r="AX40" s="35">
        <v>50</v>
      </c>
      <c r="AY40" s="35">
        <v>59.6153846153846</v>
      </c>
      <c r="AZ40" s="35">
        <v>33.2098765432099</v>
      </c>
      <c r="BA40" s="29" t="s">
        <v>74</v>
      </c>
      <c r="BB40" s="29">
        <v>0</v>
      </c>
      <c r="BC40" s="29">
        <v>0</v>
      </c>
      <c r="BD40" s="36">
        <v>0</v>
      </c>
      <c r="BE40" s="38">
        <v>1137</v>
      </c>
      <c r="BF40" s="36">
        <f t="shared" si="0"/>
        <v>0</v>
      </c>
    </row>
    <row r="41" spans="1:58">
      <c r="A41" s="14" t="s">
        <v>116</v>
      </c>
      <c r="B41" s="14" t="s">
        <v>116</v>
      </c>
      <c r="C41" s="15" t="s">
        <v>73</v>
      </c>
      <c r="D41" s="16">
        <v>60.3479161437694</v>
      </c>
      <c r="E41" s="16">
        <v>0.596921366358467</v>
      </c>
      <c r="F41" s="16">
        <v>0</v>
      </c>
      <c r="G41" s="16">
        <v>-0.469627995302509</v>
      </c>
      <c r="H41" s="16">
        <v>27.5039095847667</v>
      </c>
      <c r="I41" s="16">
        <v>-0.779542269260839</v>
      </c>
      <c r="J41" s="16">
        <v>0</v>
      </c>
      <c r="K41" s="16">
        <v>-0.421999954345974</v>
      </c>
      <c r="L41" s="16">
        <v>0</v>
      </c>
      <c r="M41" s="16">
        <v>-0.424781864658015</v>
      </c>
      <c r="N41" s="16">
        <v>0.637206359290008</v>
      </c>
      <c r="O41" s="16">
        <v>-0.682293930943097</v>
      </c>
      <c r="P41" s="16">
        <v>33.9498376011497</v>
      </c>
      <c r="Q41" s="16">
        <v>1.78909235556475</v>
      </c>
      <c r="R41" s="16">
        <v>5.28651027557362</v>
      </c>
      <c r="S41" s="16">
        <v>0.0917900047365827</v>
      </c>
      <c r="T41" s="16">
        <v>108.882502158799</v>
      </c>
      <c r="U41" s="16">
        <v>0.544239748740385</v>
      </c>
      <c r="V41" s="16">
        <v>0</v>
      </c>
      <c r="W41" s="16">
        <v>-0.307051897076419</v>
      </c>
      <c r="X41" s="16">
        <v>0.061249032563186</v>
      </c>
      <c r="Y41" s="16">
        <v>-0.276367867959056</v>
      </c>
      <c r="Z41" s="16">
        <v>9.89933484660738</v>
      </c>
      <c r="AA41" s="16">
        <v>-0.813593687147934</v>
      </c>
      <c r="AB41" s="16">
        <v>1.59571568423016</v>
      </c>
      <c r="AC41" s="16">
        <v>-0.325168843243889</v>
      </c>
      <c r="AD41" s="16">
        <v>56.6490410521308</v>
      </c>
      <c r="AE41" s="16">
        <v>0.185099905953745</v>
      </c>
      <c r="AF41" s="16">
        <v>646.752108034963</v>
      </c>
      <c r="AG41" s="16">
        <v>0.243176679779603</v>
      </c>
      <c r="AH41" s="20">
        <v>160.01987838188</v>
      </c>
      <c r="AI41" s="23">
        <v>-0.346705565697313</v>
      </c>
      <c r="AJ41" s="24">
        <v>80</v>
      </c>
      <c r="AK41" s="29">
        <v>2</v>
      </c>
      <c r="AL41" s="14">
        <v>5</v>
      </c>
      <c r="AM41" s="29">
        <v>1</v>
      </c>
      <c r="AN41" s="30">
        <v>0</v>
      </c>
      <c r="AO41" s="29">
        <v>1</v>
      </c>
      <c r="AP41" s="35">
        <v>25.625</v>
      </c>
      <c r="AQ41" s="35">
        <v>20</v>
      </c>
      <c r="AR41" s="35">
        <v>21.6666666666667</v>
      </c>
      <c r="AS41" s="35">
        <v>17</v>
      </c>
      <c r="AT41" s="35">
        <v>12</v>
      </c>
      <c r="AU41" s="35">
        <v>25</v>
      </c>
      <c r="AV41" s="35">
        <v>61</v>
      </c>
      <c r="AW41" s="35">
        <v>33.3333333333333</v>
      </c>
      <c r="AX41" s="35">
        <v>66.6666666666667</v>
      </c>
      <c r="AY41" s="35">
        <v>64.4871794871795</v>
      </c>
      <c r="AZ41" s="35">
        <v>37.037037037037</v>
      </c>
      <c r="BA41" s="29" t="s">
        <v>79</v>
      </c>
      <c r="BB41" s="29">
        <v>0</v>
      </c>
      <c r="BC41" s="29">
        <v>0</v>
      </c>
      <c r="BD41" s="36">
        <v>0</v>
      </c>
      <c r="BE41" s="38">
        <v>1095</v>
      </c>
      <c r="BF41" s="36">
        <f t="shared" si="0"/>
        <v>0</v>
      </c>
    </row>
    <row r="42" spans="1:58">
      <c r="A42" s="14" t="s">
        <v>117</v>
      </c>
      <c r="B42" s="14" t="s">
        <v>117</v>
      </c>
      <c r="C42" s="15" t="s">
        <v>73</v>
      </c>
      <c r="D42" s="16">
        <v>10.4732228908809</v>
      </c>
      <c r="E42" s="16">
        <v>-0.60470005982227</v>
      </c>
      <c r="F42" s="16">
        <v>0</v>
      </c>
      <c r="G42" s="16">
        <v>-0.469627995302509</v>
      </c>
      <c r="H42" s="16">
        <v>12.5916081407176</v>
      </c>
      <c r="I42" s="16">
        <v>-1.30030960115504</v>
      </c>
      <c r="J42" s="16">
        <v>0</v>
      </c>
      <c r="K42" s="16">
        <v>-0.421999954345974</v>
      </c>
      <c r="L42" s="16">
        <v>0</v>
      </c>
      <c r="M42" s="16">
        <v>-0.424781864658015</v>
      </c>
      <c r="N42" s="16">
        <v>0.129235731149478</v>
      </c>
      <c r="O42" s="16">
        <v>-0.927226469387033</v>
      </c>
      <c r="P42" s="16">
        <v>0.940440509945602</v>
      </c>
      <c r="Q42" s="16">
        <v>-0.620629747739059</v>
      </c>
      <c r="R42" s="16">
        <v>3.10576489700335</v>
      </c>
      <c r="S42" s="16">
        <v>-0.427828928282894</v>
      </c>
      <c r="T42" s="16">
        <v>0.977793330378181</v>
      </c>
      <c r="U42" s="16">
        <v>-0.511931502220704</v>
      </c>
      <c r="V42" s="16">
        <v>0</v>
      </c>
      <c r="W42" s="16">
        <v>-0.307051897076419</v>
      </c>
      <c r="X42" s="16">
        <v>0</v>
      </c>
      <c r="Y42" s="16">
        <v>-0.277910558663702</v>
      </c>
      <c r="Z42" s="16">
        <v>12.3619045365068</v>
      </c>
      <c r="AA42" s="16">
        <v>-0.585819329359531</v>
      </c>
      <c r="AB42" s="16">
        <v>0.714312419824194</v>
      </c>
      <c r="AC42" s="16">
        <v>-0.375747219661564</v>
      </c>
      <c r="AD42" s="16">
        <v>17.8879189088473</v>
      </c>
      <c r="AE42" s="16">
        <v>-1.24075620875536</v>
      </c>
      <c r="AF42" s="16">
        <v>159.023676315385</v>
      </c>
      <c r="AG42" s="16">
        <v>-1.22163023855778</v>
      </c>
      <c r="AH42" s="20">
        <v>103.890683290052</v>
      </c>
      <c r="AI42" s="23">
        <v>-0.581678511711982</v>
      </c>
      <c r="AJ42" s="24">
        <v>69</v>
      </c>
      <c r="AK42" s="29">
        <v>2</v>
      </c>
      <c r="AL42" s="14">
        <v>5</v>
      </c>
      <c r="AM42" s="29">
        <v>1</v>
      </c>
      <c r="AN42" s="30">
        <v>0</v>
      </c>
      <c r="AO42" s="29">
        <v>1</v>
      </c>
      <c r="AP42" s="35">
        <v>2.5</v>
      </c>
      <c r="AQ42" s="35">
        <v>0</v>
      </c>
      <c r="AR42" s="35">
        <v>3.33333333333333</v>
      </c>
      <c r="AS42" s="35">
        <v>0</v>
      </c>
      <c r="AT42" s="35">
        <v>0</v>
      </c>
      <c r="AU42" s="35">
        <v>13</v>
      </c>
      <c r="AV42" s="35">
        <v>100</v>
      </c>
      <c r="AW42" s="35">
        <v>2.08333333333333</v>
      </c>
      <c r="AX42" s="35">
        <v>75</v>
      </c>
      <c r="AY42" s="35">
        <v>98.7179487179487</v>
      </c>
      <c r="AZ42" s="35">
        <v>2.77777777777778</v>
      </c>
      <c r="BA42" s="29" t="s">
        <v>74</v>
      </c>
      <c r="BB42" s="29">
        <v>0</v>
      </c>
      <c r="BC42" s="29">
        <v>1</v>
      </c>
      <c r="BD42" s="36">
        <v>0</v>
      </c>
      <c r="BE42" s="38">
        <v>1050</v>
      </c>
      <c r="BF42" s="36">
        <f t="shared" si="0"/>
        <v>0</v>
      </c>
    </row>
    <row r="43" spans="1:58">
      <c r="A43" s="14" t="s">
        <v>118</v>
      </c>
      <c r="B43" s="14" t="s">
        <v>118</v>
      </c>
      <c r="C43" s="15" t="s">
        <v>73</v>
      </c>
      <c r="D43" s="16">
        <v>40.872574750146</v>
      </c>
      <c r="E43" s="16">
        <v>0.127705698562713</v>
      </c>
      <c r="F43" s="16">
        <v>25.2391216641841</v>
      </c>
      <c r="G43" s="16">
        <v>0.120856556219271</v>
      </c>
      <c r="H43" s="16">
        <v>18.1537559383035</v>
      </c>
      <c r="I43" s="16">
        <v>-1.1060682978245</v>
      </c>
      <c r="J43" s="16">
        <v>13.3227967230735</v>
      </c>
      <c r="K43" s="16">
        <v>-0.0340124186474981</v>
      </c>
      <c r="L43" s="16">
        <v>2.69376343239605</v>
      </c>
      <c r="M43" s="16">
        <v>-0.207426635614152</v>
      </c>
      <c r="N43" s="16">
        <v>1.25036492024501</v>
      </c>
      <c r="O43" s="16">
        <v>-0.386642028089786</v>
      </c>
      <c r="P43" s="16">
        <v>5.65768129363876</v>
      </c>
      <c r="Q43" s="16">
        <v>-0.276266009387092</v>
      </c>
      <c r="R43" s="16">
        <v>5.83784812493657</v>
      </c>
      <c r="S43" s="16">
        <v>0.223160492935005</v>
      </c>
      <c r="T43" s="16">
        <v>18.3554080053784</v>
      </c>
      <c r="U43" s="16">
        <v>-0.341839416070886</v>
      </c>
      <c r="V43" s="16">
        <v>21.3175572891636</v>
      </c>
      <c r="W43" s="16">
        <v>0.0273510774580689</v>
      </c>
      <c r="X43" s="16">
        <v>9.3557954688706</v>
      </c>
      <c r="Y43" s="16">
        <v>-0.0422644088325616</v>
      </c>
      <c r="Z43" s="16">
        <v>15.7789130511463</v>
      </c>
      <c r="AA43" s="16">
        <v>-0.269764550007761</v>
      </c>
      <c r="AB43" s="16">
        <v>2.19810591248266</v>
      </c>
      <c r="AC43" s="16">
        <v>-0.290601329206579</v>
      </c>
      <c r="AD43" s="16">
        <v>51.9589203543853</v>
      </c>
      <c r="AE43" s="16">
        <v>0.0125703994321448</v>
      </c>
      <c r="AF43" s="16">
        <v>175.521476441051</v>
      </c>
      <c r="AG43" s="16">
        <v>-1.17208198549363</v>
      </c>
      <c r="AH43" s="20">
        <v>168.717677060965</v>
      </c>
      <c r="AI43" s="23">
        <v>-0.310294080085885</v>
      </c>
      <c r="AJ43" s="24">
        <v>36</v>
      </c>
      <c r="AK43" s="29">
        <v>1</v>
      </c>
      <c r="AL43" s="14">
        <v>4</v>
      </c>
      <c r="AM43" s="29">
        <v>1</v>
      </c>
      <c r="AN43" s="30">
        <v>0</v>
      </c>
      <c r="AO43" s="29">
        <v>1</v>
      </c>
      <c r="AP43" s="35">
        <v>75</v>
      </c>
      <c r="AQ43" s="35">
        <v>76.6666666666667</v>
      </c>
      <c r="AR43" s="35">
        <v>76.6666666666667</v>
      </c>
      <c r="AS43" s="35">
        <v>24</v>
      </c>
      <c r="AT43" s="35">
        <v>37</v>
      </c>
      <c r="AU43" s="35">
        <v>25</v>
      </c>
      <c r="AV43" s="35">
        <v>29</v>
      </c>
      <c r="AW43" s="35">
        <v>72.9166666666667</v>
      </c>
      <c r="AX43" s="35">
        <v>16.6666666666667</v>
      </c>
      <c r="AY43" s="35">
        <v>27.8205128205128</v>
      </c>
      <c r="AZ43" s="35">
        <v>44.8148148148148</v>
      </c>
      <c r="BA43" s="29">
        <v>4</v>
      </c>
      <c r="BB43" s="29">
        <v>1</v>
      </c>
      <c r="BC43" s="29">
        <v>1</v>
      </c>
      <c r="BD43" s="36">
        <v>1</v>
      </c>
      <c r="BE43" s="38">
        <v>494</v>
      </c>
      <c r="BF43" s="36">
        <f t="shared" si="0"/>
        <v>1</v>
      </c>
    </row>
    <row r="44" spans="1:58">
      <c r="A44" s="14" t="s">
        <v>119</v>
      </c>
      <c r="B44" s="14" t="s">
        <v>119</v>
      </c>
      <c r="C44" s="15" t="s">
        <v>73</v>
      </c>
      <c r="D44" s="16">
        <v>3.00129257103687</v>
      </c>
      <c r="E44" s="16">
        <v>-0.784719845041381</v>
      </c>
      <c r="F44" s="16">
        <v>0.04367910942995</v>
      </c>
      <c r="G44" s="16">
        <v>-0.468606096058716</v>
      </c>
      <c r="H44" s="16">
        <v>30.5142909677731</v>
      </c>
      <c r="I44" s="16">
        <v>-0.674413742541187</v>
      </c>
      <c r="J44" s="16">
        <v>0</v>
      </c>
      <c r="K44" s="16">
        <v>-0.421999954345974</v>
      </c>
      <c r="L44" s="16">
        <v>0</v>
      </c>
      <c r="M44" s="16">
        <v>-0.424781864658015</v>
      </c>
      <c r="N44" s="16">
        <v>1.31098623895114</v>
      </c>
      <c r="O44" s="16">
        <v>-0.357411728832398</v>
      </c>
      <c r="P44" s="16">
        <v>7.2217342662369</v>
      </c>
      <c r="Q44" s="16">
        <v>-0.162088431154012</v>
      </c>
      <c r="R44" s="16">
        <v>2.79816002800484</v>
      </c>
      <c r="S44" s="16">
        <v>-0.501123736283539</v>
      </c>
      <c r="T44" s="16">
        <v>47.296481886901</v>
      </c>
      <c r="U44" s="16">
        <v>-0.0585641953925265</v>
      </c>
      <c r="V44" s="16">
        <v>2.90029808874582</v>
      </c>
      <c r="W44" s="16">
        <v>-0.261555675592998</v>
      </c>
      <c r="X44" s="16">
        <v>0.33157087540088</v>
      </c>
      <c r="Y44" s="16">
        <v>-0.269559221736304</v>
      </c>
      <c r="Z44" s="16">
        <v>14.7294305568904</v>
      </c>
      <c r="AA44" s="16">
        <v>-0.366835996196588</v>
      </c>
      <c r="AB44" s="16">
        <v>1.44667540394477</v>
      </c>
      <c r="AC44" s="16">
        <v>-0.333721359103642</v>
      </c>
      <c r="AD44" s="16">
        <v>45.1341352632495</v>
      </c>
      <c r="AE44" s="16">
        <v>-0.238484291858772</v>
      </c>
      <c r="AF44" s="16">
        <v>1126.26845759304</v>
      </c>
      <c r="AG44" s="16">
        <v>1.68332004770285</v>
      </c>
      <c r="AH44" s="20">
        <v>167.631792737071</v>
      </c>
      <c r="AI44" s="23">
        <v>-0.314839904022948</v>
      </c>
      <c r="AJ44" s="24">
        <v>73</v>
      </c>
      <c r="AK44" s="29">
        <v>2</v>
      </c>
      <c r="AL44" s="14">
        <v>2</v>
      </c>
      <c r="AM44" s="29">
        <v>1</v>
      </c>
      <c r="AN44" s="30">
        <v>0</v>
      </c>
      <c r="AO44" s="29">
        <v>1</v>
      </c>
      <c r="AP44" s="35">
        <v>0</v>
      </c>
      <c r="AQ44" s="35">
        <v>0</v>
      </c>
      <c r="AR44" s="35">
        <v>0</v>
      </c>
      <c r="AS44" s="35">
        <v>0</v>
      </c>
      <c r="AT44" s="35">
        <v>0</v>
      </c>
      <c r="AU44" s="35">
        <v>6</v>
      </c>
      <c r="AV44" s="35">
        <v>93.6666666666667</v>
      </c>
      <c r="AW44" s="35">
        <v>10.4166666666667</v>
      </c>
      <c r="AX44" s="35">
        <v>66.6666666666667</v>
      </c>
      <c r="AY44" s="35">
        <v>91.1538461538462</v>
      </c>
      <c r="AZ44" s="35">
        <v>17.5925925925926</v>
      </c>
      <c r="BA44" s="29" t="s">
        <v>74</v>
      </c>
      <c r="BB44" s="29">
        <v>0</v>
      </c>
      <c r="BC44" s="29">
        <v>0</v>
      </c>
      <c r="BD44" s="36">
        <v>1</v>
      </c>
      <c r="BE44" s="38">
        <v>597</v>
      </c>
      <c r="BF44" s="36">
        <f t="shared" si="0"/>
        <v>1</v>
      </c>
    </row>
    <row r="45" spans="1:58">
      <c r="A45" s="14" t="s">
        <v>120</v>
      </c>
      <c r="B45" s="14" t="s">
        <v>120</v>
      </c>
      <c r="C45" s="15" t="s">
        <v>73</v>
      </c>
      <c r="D45" s="16">
        <v>26.494150525891</v>
      </c>
      <c r="E45" s="16">
        <v>-0.218710920682967</v>
      </c>
      <c r="F45" s="16">
        <v>25.2391216641841</v>
      </c>
      <c r="G45" s="16">
        <v>0.120856556219271</v>
      </c>
      <c r="H45" s="16">
        <v>47.2306717500915</v>
      </c>
      <c r="I45" s="16">
        <v>-0.0906443591500398</v>
      </c>
      <c r="J45" s="16">
        <v>15.8394862086924</v>
      </c>
      <c r="K45" s="16">
        <v>0.0392788108097867</v>
      </c>
      <c r="L45" s="16">
        <v>3.53729982013878</v>
      </c>
      <c r="M45" s="16">
        <v>-0.139363106887143</v>
      </c>
      <c r="N45" s="16">
        <v>1.3715100559069</v>
      </c>
      <c r="O45" s="16">
        <v>-0.32822844282715</v>
      </c>
      <c r="P45" s="16">
        <v>6.66276526920481</v>
      </c>
      <c r="Q45" s="16">
        <v>-0.202893779506427</v>
      </c>
      <c r="R45" s="16">
        <v>2.926185441015</v>
      </c>
      <c r="S45" s="16">
        <v>-0.470618373685301</v>
      </c>
      <c r="T45" s="16">
        <v>98.3275245438785</v>
      </c>
      <c r="U45" s="16">
        <v>0.440927631665466</v>
      </c>
      <c r="V45" s="16">
        <v>20.8234886880029</v>
      </c>
      <c r="W45" s="16">
        <v>0.0196007518644223</v>
      </c>
      <c r="X45" s="16">
        <v>7.70927654784374</v>
      </c>
      <c r="Y45" s="16">
        <v>-0.0837355852445595</v>
      </c>
      <c r="Z45" s="16">
        <v>15.9294826370255</v>
      </c>
      <c r="AA45" s="16">
        <v>-0.255837678875232</v>
      </c>
      <c r="AB45" s="16">
        <v>2.80862175702503</v>
      </c>
      <c r="AC45" s="16">
        <v>-0.255567535435654</v>
      </c>
      <c r="AD45" s="16">
        <v>58.8191304763093</v>
      </c>
      <c r="AE45" s="16">
        <v>0.264928226287001</v>
      </c>
      <c r="AF45" s="16">
        <v>432.160047959543</v>
      </c>
      <c r="AG45" s="16">
        <v>-0.401312986550686</v>
      </c>
      <c r="AH45" s="20">
        <v>210.798817116713</v>
      </c>
      <c r="AI45" s="23">
        <v>-0.134130330821741</v>
      </c>
      <c r="AJ45" s="24">
        <v>69</v>
      </c>
      <c r="AK45" s="29">
        <v>1</v>
      </c>
      <c r="AL45" s="14">
        <v>2</v>
      </c>
      <c r="AM45" s="29">
        <v>2</v>
      </c>
      <c r="AN45" s="30">
        <v>10</v>
      </c>
      <c r="AO45" s="29">
        <v>1</v>
      </c>
      <c r="AP45" s="35">
        <v>4.5</v>
      </c>
      <c r="AQ45" s="35">
        <v>5</v>
      </c>
      <c r="AR45" s="35">
        <v>4.66666666666667</v>
      </c>
      <c r="AS45" s="35">
        <v>0</v>
      </c>
      <c r="AT45" s="35">
        <v>0</v>
      </c>
      <c r="AU45" s="35">
        <v>0</v>
      </c>
      <c r="AV45" s="35">
        <v>100</v>
      </c>
      <c r="AW45" s="35">
        <v>0</v>
      </c>
      <c r="AX45" s="35">
        <v>100</v>
      </c>
      <c r="AY45" s="35">
        <v>100</v>
      </c>
      <c r="AZ45" s="35">
        <v>5.09259259259259</v>
      </c>
      <c r="BA45" s="29">
        <v>4</v>
      </c>
      <c r="BB45" s="29">
        <v>0</v>
      </c>
      <c r="BC45" s="29">
        <v>0</v>
      </c>
      <c r="BD45" s="36">
        <v>0</v>
      </c>
      <c r="BE45" s="38">
        <v>1085</v>
      </c>
      <c r="BF45" s="36">
        <f t="shared" si="0"/>
        <v>0</v>
      </c>
    </row>
    <row r="46" spans="1:58">
      <c r="A46" s="14" t="s">
        <v>121</v>
      </c>
      <c r="B46" s="14" t="s">
        <v>121</v>
      </c>
      <c r="C46" s="15" t="s">
        <v>73</v>
      </c>
      <c r="D46" s="16">
        <v>41.4886075867644</v>
      </c>
      <c r="E46" s="16">
        <v>0.142547659634197</v>
      </c>
      <c r="F46" s="16">
        <v>22.9812639885931</v>
      </c>
      <c r="G46" s="16">
        <v>0.0680326071646847</v>
      </c>
      <c r="H46" s="16">
        <v>71.4345082695655</v>
      </c>
      <c r="I46" s="16">
        <v>0.754601923802475</v>
      </c>
      <c r="J46" s="16">
        <v>28.6533416178501</v>
      </c>
      <c r="K46" s="16">
        <v>0.412444917471569</v>
      </c>
      <c r="L46" s="16">
        <v>8.32784247683414</v>
      </c>
      <c r="M46" s="16">
        <v>0.247177702104479</v>
      </c>
      <c r="N46" s="16">
        <v>4.79231542038702</v>
      </c>
      <c r="O46" s="16">
        <v>1.32121051097975</v>
      </c>
      <c r="P46" s="16">
        <v>3.42484227536055</v>
      </c>
      <c r="Q46" s="16">
        <v>-0.439265700674938</v>
      </c>
      <c r="R46" s="16">
        <v>6.70834209249139</v>
      </c>
      <c r="S46" s="16">
        <v>0.430578172718088</v>
      </c>
      <c r="T46" s="16">
        <v>29.9696636475928</v>
      </c>
      <c r="U46" s="16">
        <v>-0.228159086048174</v>
      </c>
      <c r="V46" s="16">
        <v>17.139067530947</v>
      </c>
      <c r="W46" s="16">
        <v>-0.0381958041689277</v>
      </c>
      <c r="X46" s="16">
        <v>3.43199280069079</v>
      </c>
      <c r="Y46" s="16">
        <v>-0.191468321611613</v>
      </c>
      <c r="Z46" s="16">
        <v>16.2310942021334</v>
      </c>
      <c r="AA46" s="16">
        <v>-0.227940242784068</v>
      </c>
      <c r="AB46" s="16">
        <v>7.54181694709928</v>
      </c>
      <c r="AC46" s="16">
        <v>0.0160417694643555</v>
      </c>
      <c r="AD46" s="16">
        <v>126.408947207084</v>
      </c>
      <c r="AE46" s="16">
        <v>2.75126887249924</v>
      </c>
      <c r="AF46" s="16">
        <v>1073.10809039558</v>
      </c>
      <c r="AG46" s="16">
        <v>1.52366219593962</v>
      </c>
      <c r="AH46" s="20">
        <v>187.122504354866</v>
      </c>
      <c r="AI46" s="23">
        <v>-0.233246182230518</v>
      </c>
      <c r="AJ46" s="24">
        <v>52</v>
      </c>
      <c r="AK46" s="29">
        <v>2</v>
      </c>
      <c r="AL46" s="14">
        <v>3</v>
      </c>
      <c r="AM46" s="29">
        <v>2</v>
      </c>
      <c r="AN46" s="30">
        <v>5</v>
      </c>
      <c r="AO46" s="29">
        <v>1</v>
      </c>
      <c r="AP46" s="35">
        <v>66.25</v>
      </c>
      <c r="AQ46" s="35">
        <v>41.6666666666667</v>
      </c>
      <c r="AR46" s="35">
        <v>71.6666666666667</v>
      </c>
      <c r="AS46" s="35">
        <v>18</v>
      </c>
      <c r="AT46" s="35">
        <v>40</v>
      </c>
      <c r="AU46" s="35">
        <v>40</v>
      </c>
      <c r="AV46" s="35">
        <v>22.6666666666667</v>
      </c>
      <c r="AW46" s="35">
        <v>50.6944444444444</v>
      </c>
      <c r="AX46" s="35">
        <v>41.6666666666667</v>
      </c>
      <c r="AY46" s="35">
        <v>39.0598290598291</v>
      </c>
      <c r="AZ46" s="35">
        <v>49.0740740740741</v>
      </c>
      <c r="BA46" s="29">
        <v>5</v>
      </c>
      <c r="BB46" s="29" t="s">
        <v>122</v>
      </c>
      <c r="BC46" s="29">
        <v>0</v>
      </c>
      <c r="BD46" s="36">
        <v>1</v>
      </c>
      <c r="BE46" s="38">
        <v>379</v>
      </c>
      <c r="BF46" s="36">
        <f t="shared" si="0"/>
        <v>1</v>
      </c>
    </row>
    <row r="47" spans="1:58">
      <c r="A47" s="14" t="s">
        <v>123</v>
      </c>
      <c r="B47" s="14" t="s">
        <v>123</v>
      </c>
      <c r="C47" s="15" t="s">
        <v>73</v>
      </c>
      <c r="D47" s="16">
        <v>91.4685012330502</v>
      </c>
      <c r="E47" s="16">
        <v>1.34670365873166</v>
      </c>
      <c r="F47" s="16">
        <v>0.04367910942995</v>
      </c>
      <c r="G47" s="16">
        <v>-0.468606096058716</v>
      </c>
      <c r="H47" s="16">
        <v>43.7135262057349</v>
      </c>
      <c r="I47" s="16">
        <v>-0.213470101902785</v>
      </c>
      <c r="J47" s="16">
        <v>0</v>
      </c>
      <c r="K47" s="16">
        <v>-0.421999954345974</v>
      </c>
      <c r="L47" s="16">
        <v>0</v>
      </c>
      <c r="M47" s="16">
        <v>-0.424781864658015</v>
      </c>
      <c r="N47" s="16">
        <v>0.761084310541208</v>
      </c>
      <c r="O47" s="16">
        <v>-0.622562640635508</v>
      </c>
      <c r="P47" s="16">
        <v>4.98807518711533</v>
      </c>
      <c r="Q47" s="16">
        <v>-0.325147987780653</v>
      </c>
      <c r="R47" s="16">
        <v>3.51764285410262</v>
      </c>
      <c r="S47" s="16">
        <v>-0.329688362811432</v>
      </c>
      <c r="T47" s="16">
        <v>3.54680009559625</v>
      </c>
      <c r="U47" s="16">
        <v>-0.486786064932491</v>
      </c>
      <c r="V47" s="16">
        <v>7.52629781681531</v>
      </c>
      <c r="W47" s="16">
        <v>-0.188988821507492</v>
      </c>
      <c r="X47" s="16">
        <v>0.581833439336086</v>
      </c>
      <c r="Y47" s="16">
        <v>-0.263255812279095</v>
      </c>
      <c r="Z47" s="16">
        <v>18.512547775979</v>
      </c>
      <c r="AA47" s="16">
        <v>-0.0169181447138343</v>
      </c>
      <c r="AB47" s="16">
        <v>1.59571568423016</v>
      </c>
      <c r="AC47" s="16">
        <v>-0.325168843243889</v>
      </c>
      <c r="AD47" s="16">
        <v>71.1778825577245</v>
      </c>
      <c r="AE47" s="16">
        <v>0.719553924694787</v>
      </c>
      <c r="AF47" s="16">
        <v>890.371243819248</v>
      </c>
      <c r="AG47" s="16">
        <v>0.974844083867643</v>
      </c>
      <c r="AH47" s="16">
        <v>332.584010473442</v>
      </c>
      <c r="AI47" s="23">
        <v>0.375697497943313</v>
      </c>
      <c r="AJ47" s="24">
        <v>87</v>
      </c>
      <c r="AK47" s="29">
        <v>1</v>
      </c>
      <c r="AL47" s="14">
        <v>1</v>
      </c>
      <c r="AM47" s="29">
        <v>1</v>
      </c>
      <c r="AN47" s="30">
        <v>0</v>
      </c>
      <c r="AO47" s="29">
        <v>1</v>
      </c>
      <c r="AP47" s="35">
        <v>62.5</v>
      </c>
      <c r="AQ47" s="35">
        <v>21.6666666666667</v>
      </c>
      <c r="AR47" s="35">
        <v>86.6666666666667</v>
      </c>
      <c r="AS47" s="35">
        <v>15</v>
      </c>
      <c r="AT47" s="35">
        <v>22</v>
      </c>
      <c r="AU47" s="35">
        <v>35</v>
      </c>
      <c r="AV47" s="35">
        <v>62.6666666666667</v>
      </c>
      <c r="AW47" s="35">
        <v>36.1111111111111</v>
      </c>
      <c r="AX47" s="35">
        <v>41.6666666666667</v>
      </c>
      <c r="AY47" s="35">
        <v>63.4188034188034</v>
      </c>
      <c r="AZ47" s="35">
        <v>22.7469135802469</v>
      </c>
      <c r="BA47" s="29" t="s">
        <v>82</v>
      </c>
      <c r="BB47" s="29">
        <v>0</v>
      </c>
      <c r="BC47" s="29">
        <v>0</v>
      </c>
      <c r="BD47" s="36">
        <v>1</v>
      </c>
      <c r="BE47" s="38">
        <v>355</v>
      </c>
      <c r="BF47" s="36">
        <f t="shared" si="0"/>
        <v>1</v>
      </c>
    </row>
    <row r="48" spans="1:58">
      <c r="A48" s="14" t="s">
        <v>124</v>
      </c>
      <c r="B48" s="14" t="s">
        <v>124</v>
      </c>
      <c r="C48" s="15" t="s">
        <v>73</v>
      </c>
      <c r="D48" s="16">
        <v>103.111026322307</v>
      </c>
      <c r="E48" s="16">
        <v>1.6272047844461</v>
      </c>
      <c r="F48" s="16">
        <v>14.8316551240304</v>
      </c>
      <c r="G48" s="16">
        <v>-0.122632432589772</v>
      </c>
      <c r="H48" s="16">
        <v>76.6939983137683</v>
      </c>
      <c r="I48" s="16">
        <v>0.938273814269564</v>
      </c>
      <c r="J48" s="16">
        <v>13.8245657453511</v>
      </c>
      <c r="K48" s="16">
        <v>-0.0193998616529028</v>
      </c>
      <c r="L48" s="16">
        <v>5.97637048847919</v>
      </c>
      <c r="M48" s="16">
        <v>0.0574413924967337</v>
      </c>
      <c r="N48" s="16">
        <v>1.85269687262934</v>
      </c>
      <c r="O48" s="16">
        <v>-0.0962104836057388</v>
      </c>
      <c r="P48" s="16">
        <v>49.1197622683071</v>
      </c>
      <c r="Q48" s="16">
        <v>2.89651345371148</v>
      </c>
      <c r="R48" s="16">
        <v>3.62090123137671</v>
      </c>
      <c r="S48" s="16">
        <v>-0.305084386413388</v>
      </c>
      <c r="T48" s="16">
        <v>275.749461924278</v>
      </c>
      <c r="U48" s="16">
        <v>2.17753349053454</v>
      </c>
      <c r="V48" s="16">
        <v>7.52629781681531</v>
      </c>
      <c r="W48" s="16">
        <v>-0.188988821507492</v>
      </c>
      <c r="X48" s="16">
        <v>8.69639493542743</v>
      </c>
      <c r="Y48" s="16">
        <v>-0.0588728519542068</v>
      </c>
      <c r="Z48" s="16">
        <v>16.684677963035</v>
      </c>
      <c r="AA48" s="16">
        <v>-0.185986201740531</v>
      </c>
      <c r="AB48" s="16">
        <v>5.30626247361478</v>
      </c>
      <c r="AC48" s="16">
        <v>-0.112243114683789</v>
      </c>
      <c r="AD48" s="16">
        <v>95.0723605865657</v>
      </c>
      <c r="AE48" s="16">
        <v>1.59852970561421</v>
      </c>
      <c r="AF48" s="16">
        <v>1089.62263016655</v>
      </c>
      <c r="AG48" s="16">
        <v>1.57326072359647</v>
      </c>
      <c r="AH48" s="20">
        <v>254.558858662983</v>
      </c>
      <c r="AI48" s="23">
        <v>0.0490617827125658</v>
      </c>
      <c r="AJ48" s="24">
        <v>69</v>
      </c>
      <c r="AK48" s="29">
        <v>1</v>
      </c>
      <c r="AL48" s="14">
        <v>1</v>
      </c>
      <c r="AM48" s="29">
        <v>2</v>
      </c>
      <c r="AN48" s="30">
        <v>8.75</v>
      </c>
      <c r="AO48" s="29">
        <v>1</v>
      </c>
      <c r="AP48" s="35">
        <v>61.25</v>
      </c>
      <c r="AQ48" s="35">
        <v>50</v>
      </c>
      <c r="AR48" s="35">
        <v>66.6666666666667</v>
      </c>
      <c r="AS48" s="35">
        <v>13</v>
      </c>
      <c r="AT48" s="35">
        <v>23</v>
      </c>
      <c r="AU48" s="35">
        <v>23</v>
      </c>
      <c r="AV48" s="35">
        <v>57.3333333333333</v>
      </c>
      <c r="AW48" s="35">
        <v>51.3888888888889</v>
      </c>
      <c r="AX48" s="35">
        <v>50</v>
      </c>
      <c r="AY48" s="35">
        <v>51.965811965812</v>
      </c>
      <c r="AZ48" s="35">
        <v>25.9259259259259</v>
      </c>
      <c r="BA48" s="29">
        <v>5</v>
      </c>
      <c r="BB48" s="29">
        <v>0</v>
      </c>
      <c r="BC48" s="29">
        <v>1</v>
      </c>
      <c r="BD48" s="36">
        <v>0</v>
      </c>
      <c r="BE48" s="38">
        <v>1078</v>
      </c>
      <c r="BF48" s="36">
        <f t="shared" si="0"/>
        <v>0</v>
      </c>
    </row>
    <row r="49" spans="1:58">
      <c r="A49" s="14" t="s">
        <v>125</v>
      </c>
      <c r="B49" s="14" t="s">
        <v>125</v>
      </c>
      <c r="C49" s="15" t="s">
        <v>73</v>
      </c>
      <c r="D49" s="16">
        <v>74.2548851365195</v>
      </c>
      <c r="E49" s="16">
        <v>0.931979305064724</v>
      </c>
      <c r="F49" s="16">
        <v>120.626808240088</v>
      </c>
      <c r="G49" s="16">
        <v>2.35250930855737</v>
      </c>
      <c r="H49" s="16">
        <v>51.9405954257359</v>
      </c>
      <c r="I49" s="16">
        <v>0.0738355767735642</v>
      </c>
      <c r="J49" s="16">
        <v>140.310820980136</v>
      </c>
      <c r="K49" s="16">
        <v>3.66414282749437</v>
      </c>
      <c r="L49" s="16">
        <v>48.6108160209237</v>
      </c>
      <c r="M49" s="16">
        <v>3.49754291084719</v>
      </c>
      <c r="N49" s="16">
        <v>9.16226177706822</v>
      </c>
      <c r="O49" s="16">
        <v>3.42830488752635</v>
      </c>
      <c r="P49" s="16">
        <v>86.1666042884591</v>
      </c>
      <c r="Q49" s="16">
        <v>5.60097345420488</v>
      </c>
      <c r="R49" s="16">
        <v>20.2887448332593</v>
      </c>
      <c r="S49" s="16">
        <v>3.66646001911642</v>
      </c>
      <c r="T49" s="16">
        <v>706.596870295445</v>
      </c>
      <c r="U49" s="16">
        <v>6.39466776774473</v>
      </c>
      <c r="V49" s="16">
        <v>79.2895716163062</v>
      </c>
      <c r="W49" s="16">
        <v>0.93674298234611</v>
      </c>
      <c r="X49" s="16">
        <v>105.359151627575</v>
      </c>
      <c r="Y49" s="16">
        <v>2.37578986831992</v>
      </c>
      <c r="Z49" s="16">
        <v>55.2259673682022</v>
      </c>
      <c r="AA49" s="16">
        <v>3.37887430905277</v>
      </c>
      <c r="AB49" s="16">
        <v>38.6764254125389</v>
      </c>
      <c r="AC49" s="16">
        <v>1.80266772171023</v>
      </c>
      <c r="AD49" s="16">
        <v>75.9297176559652</v>
      </c>
      <c r="AE49" s="16">
        <v>0.894353640396256</v>
      </c>
      <c r="AF49" s="16">
        <v>140.332202724737</v>
      </c>
      <c r="AG49" s="16">
        <v>-1.27776680564896</v>
      </c>
      <c r="AH49" s="20">
        <v>98.3102904403308</v>
      </c>
      <c r="AI49" s="23">
        <v>-0.605039640366562</v>
      </c>
      <c r="AJ49" s="24">
        <v>66</v>
      </c>
      <c r="AK49" s="29">
        <v>2</v>
      </c>
      <c r="AL49" s="14">
        <v>1</v>
      </c>
      <c r="AM49" s="29">
        <v>1</v>
      </c>
      <c r="AN49" s="30">
        <v>0</v>
      </c>
      <c r="AO49" s="29">
        <v>1</v>
      </c>
      <c r="AP49" s="35">
        <v>67.5</v>
      </c>
      <c r="AQ49" s="35">
        <v>61.6666666666667</v>
      </c>
      <c r="AR49" s="35">
        <v>65</v>
      </c>
      <c r="AS49" s="35">
        <v>0</v>
      </c>
      <c r="AT49" s="35">
        <v>0</v>
      </c>
      <c r="AU49" s="35">
        <v>0</v>
      </c>
      <c r="AV49" s="35">
        <v>77</v>
      </c>
      <c r="AW49" s="35">
        <v>21.5277777777778</v>
      </c>
      <c r="AX49" s="35">
        <v>58.3333333333333</v>
      </c>
      <c r="AY49" s="35">
        <v>77.9059829059829</v>
      </c>
      <c r="AZ49" s="35">
        <v>42.3148148148148</v>
      </c>
      <c r="BA49" s="29">
        <v>4</v>
      </c>
      <c r="BB49" s="29">
        <v>0</v>
      </c>
      <c r="BC49" s="29">
        <v>1</v>
      </c>
      <c r="BD49" s="36">
        <v>1</v>
      </c>
      <c r="BE49" s="38">
        <v>385</v>
      </c>
      <c r="BF49" s="36">
        <f t="shared" si="0"/>
        <v>1</v>
      </c>
    </row>
    <row r="50" spans="1:58">
      <c r="A50" s="14" t="s">
        <v>126</v>
      </c>
      <c r="B50" s="14" t="s">
        <v>126</v>
      </c>
      <c r="C50" s="15" t="s">
        <v>73</v>
      </c>
      <c r="D50" s="16">
        <v>35.3583623576996</v>
      </c>
      <c r="E50" s="16">
        <v>-0.00514716382338719</v>
      </c>
      <c r="F50" s="16">
        <v>34.0465563689968</v>
      </c>
      <c r="G50" s="16">
        <v>0.326911830286464</v>
      </c>
      <c r="H50" s="16">
        <v>84.3922826787059</v>
      </c>
      <c r="I50" s="16">
        <v>1.20711327033429</v>
      </c>
      <c r="J50" s="16">
        <v>9.83569949053102</v>
      </c>
      <c r="K50" s="16">
        <v>-0.135563938956442</v>
      </c>
      <c r="L50" s="16">
        <v>4.36318530808557</v>
      </c>
      <c r="M50" s="16">
        <v>-0.0727237995011169</v>
      </c>
      <c r="N50" s="16">
        <v>3.97718095639277</v>
      </c>
      <c r="O50" s="16">
        <v>0.928170161048306</v>
      </c>
      <c r="P50" s="16">
        <v>11.2658769484012</v>
      </c>
      <c r="Q50" s="16">
        <v>0.133138409348399</v>
      </c>
      <c r="R50" s="16">
        <v>5.81154603632605</v>
      </c>
      <c r="S50" s="16">
        <v>0.216893340724441</v>
      </c>
      <c r="T50" s="16">
        <v>99.5200137637675</v>
      </c>
      <c r="U50" s="16">
        <v>0.452599715718169</v>
      </c>
      <c r="V50" s="16">
        <v>24.1498112532176</v>
      </c>
      <c r="W50" s="16">
        <v>0.0717799084619945</v>
      </c>
      <c r="X50" s="16">
        <v>3.87347154855481</v>
      </c>
      <c r="Y50" s="16">
        <v>-0.180348714784745</v>
      </c>
      <c r="Z50" s="16">
        <v>24.5893149368882</v>
      </c>
      <c r="AA50" s="16">
        <v>0.545149902815121</v>
      </c>
      <c r="AB50" s="16">
        <v>7.54181694709928</v>
      </c>
      <c r="AC50" s="16">
        <v>0.0160417694643555</v>
      </c>
      <c r="AD50" s="16">
        <v>93.9623513841105</v>
      </c>
      <c r="AE50" s="16">
        <v>1.55769720848336</v>
      </c>
      <c r="AF50" s="16">
        <v>470.895448699646</v>
      </c>
      <c r="AG50" s="16">
        <v>-0.284977994988626</v>
      </c>
      <c r="AH50" s="20">
        <v>84.8449234090245</v>
      </c>
      <c r="AI50" s="23">
        <v>-0.661409537624816</v>
      </c>
      <c r="AJ50" s="24">
        <v>67</v>
      </c>
      <c r="AK50" s="29">
        <v>1</v>
      </c>
      <c r="AL50" s="14">
        <v>2</v>
      </c>
      <c r="AM50" s="29">
        <v>1</v>
      </c>
      <c r="AN50" s="30">
        <v>0</v>
      </c>
      <c r="AO50" s="29">
        <v>1</v>
      </c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29">
        <v>5</v>
      </c>
      <c r="BB50" s="29">
        <v>1</v>
      </c>
      <c r="BC50" s="29">
        <v>1</v>
      </c>
      <c r="BD50" s="36">
        <v>1</v>
      </c>
      <c r="BE50" s="38">
        <v>87</v>
      </c>
      <c r="BF50" s="36">
        <f t="shared" si="0"/>
        <v>1</v>
      </c>
    </row>
    <row r="51" spans="1:58">
      <c r="A51" s="14" t="s">
        <v>127</v>
      </c>
      <c r="B51" s="14" t="s">
        <v>127</v>
      </c>
      <c r="C51" s="15" t="s">
        <v>73</v>
      </c>
      <c r="D51" s="16">
        <v>23.8759565226081</v>
      </c>
      <c r="E51" s="16">
        <v>-0.281790567033683</v>
      </c>
      <c r="F51" s="16">
        <v>6.04027585182763</v>
      </c>
      <c r="G51" s="16">
        <v>-0.328312080078104</v>
      </c>
      <c r="H51" s="16">
        <v>10.6697222437625</v>
      </c>
      <c r="I51" s="16">
        <v>-1.36742569282725</v>
      </c>
      <c r="J51" s="16">
        <v>10.3308928889416</v>
      </c>
      <c r="K51" s="16">
        <v>-0.12114287779811</v>
      </c>
      <c r="L51" s="16">
        <v>4.36318530808557</v>
      </c>
      <c r="M51" s="16">
        <v>-0.0727237995011169</v>
      </c>
      <c r="N51" s="16">
        <v>0.574949754740692</v>
      </c>
      <c r="O51" s="16">
        <v>-0.71231272994922</v>
      </c>
      <c r="P51" s="16">
        <v>5.76930616861524</v>
      </c>
      <c r="Q51" s="16">
        <v>-0.268117271384815</v>
      </c>
      <c r="R51" s="16">
        <v>3.46605572184983</v>
      </c>
      <c r="S51" s="16">
        <v>-0.341980329990243</v>
      </c>
      <c r="T51" s="16">
        <v>28.4398709254288</v>
      </c>
      <c r="U51" s="16">
        <v>-0.243132696659073</v>
      </c>
      <c r="V51" s="16">
        <v>12.218992518864</v>
      </c>
      <c r="W51" s="16">
        <v>-0.11537574071868</v>
      </c>
      <c r="X51" s="16">
        <v>206.048552899383</v>
      </c>
      <c r="Y51" s="16">
        <v>4.91187242992049</v>
      </c>
      <c r="Z51" s="16">
        <v>9.47105015434154</v>
      </c>
      <c r="AA51" s="16">
        <v>-0.853207701375259</v>
      </c>
      <c r="AB51" s="16">
        <v>1.59571568423016</v>
      </c>
      <c r="AC51" s="16">
        <v>-0.325168843243889</v>
      </c>
      <c r="AD51" s="16">
        <v>17.1900644069471</v>
      </c>
      <c r="AE51" s="16">
        <v>-1.2664272949802</v>
      </c>
      <c r="AF51" s="16">
        <v>198.048209531843</v>
      </c>
      <c r="AG51" s="16">
        <v>-1.10442688824495</v>
      </c>
      <c r="AH51" s="20">
        <v>109.454908550952</v>
      </c>
      <c r="AI51" s="23">
        <v>-0.558385065231876</v>
      </c>
      <c r="AJ51" s="24">
        <v>48</v>
      </c>
      <c r="AK51" s="29">
        <v>2</v>
      </c>
      <c r="AL51" s="14">
        <v>2</v>
      </c>
      <c r="AM51" s="29">
        <v>1</v>
      </c>
      <c r="AN51" s="30">
        <v>0</v>
      </c>
      <c r="AO51" s="29">
        <v>1</v>
      </c>
      <c r="AP51" s="35">
        <v>81.875</v>
      </c>
      <c r="AQ51" s="35">
        <v>68.3333333333333</v>
      </c>
      <c r="AR51" s="35">
        <v>90</v>
      </c>
      <c r="AS51" s="35">
        <v>7</v>
      </c>
      <c r="AT51" s="35">
        <v>15</v>
      </c>
      <c r="AU51" s="35">
        <v>27</v>
      </c>
      <c r="AV51" s="35">
        <v>60.6666666666667</v>
      </c>
      <c r="AW51" s="35">
        <v>64.5833333333333</v>
      </c>
      <c r="AX51" s="35">
        <v>25</v>
      </c>
      <c r="AY51" s="35">
        <v>45.1282051282051</v>
      </c>
      <c r="AZ51" s="35">
        <v>57.9938271604938</v>
      </c>
      <c r="BA51" s="29">
        <v>4</v>
      </c>
      <c r="BB51" s="29">
        <v>1</v>
      </c>
      <c r="BC51" s="29">
        <v>1</v>
      </c>
      <c r="BD51" s="37">
        <v>1</v>
      </c>
      <c r="BE51" s="38">
        <v>763</v>
      </c>
      <c r="BF51" s="36">
        <f t="shared" si="0"/>
        <v>0</v>
      </c>
    </row>
    <row r="52" spans="1:58">
      <c r="A52" s="14" t="s">
        <v>128</v>
      </c>
      <c r="B52" s="14" t="s">
        <v>128</v>
      </c>
      <c r="C52" s="15" t="s">
        <v>73</v>
      </c>
      <c r="D52" s="16">
        <v>99.99757063439</v>
      </c>
      <c r="E52" s="16">
        <v>1.55219289324317</v>
      </c>
      <c r="F52" s="16">
        <v>0</v>
      </c>
      <c r="G52" s="16">
        <v>-0.469627995302509</v>
      </c>
      <c r="H52" s="16">
        <v>64.4040926235888</v>
      </c>
      <c r="I52" s="16">
        <v>0.50908577649286</v>
      </c>
      <c r="J52" s="16">
        <v>1.66330076685454</v>
      </c>
      <c r="K52" s="16">
        <v>-0.373561178383895</v>
      </c>
      <c r="L52" s="16">
        <v>0</v>
      </c>
      <c r="M52" s="16">
        <v>-0.424781864658015</v>
      </c>
      <c r="N52" s="16">
        <v>0.574949754740692</v>
      </c>
      <c r="O52" s="16">
        <v>-0.71231272994922</v>
      </c>
      <c r="P52" s="16">
        <v>1.1704163582602</v>
      </c>
      <c r="Q52" s="16">
        <v>-0.603841259195068</v>
      </c>
      <c r="R52" s="16">
        <v>7.8228024892694</v>
      </c>
      <c r="S52" s="16">
        <v>0.696127157921448</v>
      </c>
      <c r="T52" s="16">
        <v>10.4387573438748</v>
      </c>
      <c r="U52" s="16">
        <v>-0.41932758988059</v>
      </c>
      <c r="V52" s="16">
        <v>0</v>
      </c>
      <c r="W52" s="16">
        <v>-0.307051897076419</v>
      </c>
      <c r="X52" s="16">
        <v>1.98058226888395</v>
      </c>
      <c r="Y52" s="16">
        <v>-0.228025266959835</v>
      </c>
      <c r="Z52" s="16">
        <v>27.61763815884</v>
      </c>
      <c r="AA52" s="16">
        <v>0.825253397910097</v>
      </c>
      <c r="AB52" s="16">
        <v>2.65533302981273</v>
      </c>
      <c r="AC52" s="16">
        <v>-0.264363843843651</v>
      </c>
      <c r="AD52" s="16">
        <v>74.4661119350219</v>
      </c>
      <c r="AE52" s="16">
        <v>0.840513837745139</v>
      </c>
      <c r="AF52" s="16">
        <v>1021.63067397352</v>
      </c>
      <c r="AG52" s="16">
        <v>1.36905879205908</v>
      </c>
      <c r="AH52" s="20">
        <v>449.974200934029</v>
      </c>
      <c r="AI52" s="23">
        <v>0.86712658116142</v>
      </c>
      <c r="AJ52" s="24">
        <v>85</v>
      </c>
      <c r="AK52" s="29">
        <v>1</v>
      </c>
      <c r="AL52" s="14">
        <v>1</v>
      </c>
      <c r="AM52" s="29">
        <v>2</v>
      </c>
      <c r="AN52" s="30">
        <v>3</v>
      </c>
      <c r="AO52" s="29">
        <v>1</v>
      </c>
      <c r="AP52" s="35">
        <v>5.625</v>
      </c>
      <c r="AQ52" s="35">
        <v>1.66666666666667</v>
      </c>
      <c r="AR52" s="35">
        <v>10</v>
      </c>
      <c r="AS52" s="35">
        <v>0</v>
      </c>
      <c r="AT52" s="35">
        <v>0</v>
      </c>
      <c r="AU52" s="35">
        <v>0</v>
      </c>
      <c r="AV52" s="35">
        <v>82.6666666666667</v>
      </c>
      <c r="AW52" s="35">
        <v>10.4166666666667</v>
      </c>
      <c r="AX52" s="35">
        <v>83.3333333333333</v>
      </c>
      <c r="AY52" s="35">
        <v>86.9230769230769</v>
      </c>
      <c r="AZ52" s="35">
        <v>30.679012345679</v>
      </c>
      <c r="BA52" s="29">
        <v>4</v>
      </c>
      <c r="BB52" s="29">
        <v>1</v>
      </c>
      <c r="BC52" s="29">
        <v>1</v>
      </c>
      <c r="BD52" s="36">
        <v>0</v>
      </c>
      <c r="BE52" s="38">
        <v>907</v>
      </c>
      <c r="BF52" s="36">
        <f t="shared" si="0"/>
        <v>0</v>
      </c>
    </row>
    <row r="53" spans="1:58">
      <c r="A53" s="14" t="s">
        <v>129</v>
      </c>
      <c r="B53" s="14" t="s">
        <v>129</v>
      </c>
      <c r="C53" s="15" t="s">
        <v>73</v>
      </c>
      <c r="D53" s="16">
        <v>62.3690626639948</v>
      </c>
      <c r="E53" s="16">
        <v>0.645616462122546</v>
      </c>
      <c r="F53" s="16">
        <v>27.472304751219</v>
      </c>
      <c r="G53" s="16">
        <v>0.173103228316624</v>
      </c>
      <c r="H53" s="16">
        <v>37.1574980062244</v>
      </c>
      <c r="I53" s="16">
        <v>-0.442419692688095</v>
      </c>
      <c r="J53" s="16">
        <v>77.6116221066493</v>
      </c>
      <c r="K53" s="16">
        <v>1.8382118186498</v>
      </c>
      <c r="L53" s="16">
        <v>25.11920351606</v>
      </c>
      <c r="M53" s="16">
        <v>1.60204431019144</v>
      </c>
      <c r="N53" s="16">
        <v>2.09161967891985</v>
      </c>
      <c r="O53" s="16">
        <v>0.018992967529026</v>
      </c>
      <c r="P53" s="16">
        <v>4.37427871832923</v>
      </c>
      <c r="Q53" s="16">
        <v>-0.369955801557955</v>
      </c>
      <c r="R53" s="16">
        <v>4.81570035273668</v>
      </c>
      <c r="S53" s="16">
        <v>-0.0203926242688739</v>
      </c>
      <c r="T53" s="16">
        <v>49.4276650346052</v>
      </c>
      <c r="U53" s="16">
        <v>-0.0377041755140883</v>
      </c>
      <c r="V53" s="16">
        <v>43.533976538039</v>
      </c>
      <c r="W53" s="16">
        <v>0.375854265677749</v>
      </c>
      <c r="X53" s="16">
        <v>20.8494135765125</v>
      </c>
      <c r="Y53" s="16">
        <v>0.247227474963637</v>
      </c>
      <c r="Z53" s="16">
        <v>23.9571637025429</v>
      </c>
      <c r="AA53" s="16">
        <v>0.486679337690108</v>
      </c>
      <c r="AB53" s="16">
        <v>10.1365774943964</v>
      </c>
      <c r="AC53" s="16">
        <v>0.164939307032901</v>
      </c>
      <c r="AD53" s="16">
        <v>43.7020500894178</v>
      </c>
      <c r="AE53" s="16">
        <v>-0.291164588222328</v>
      </c>
      <c r="AF53" s="16">
        <v>644.858279022993</v>
      </c>
      <c r="AG53" s="16">
        <v>0.237488896049011</v>
      </c>
      <c r="AH53" s="20">
        <v>1553.99441593098</v>
      </c>
      <c r="AI53" s="23">
        <v>5.48887257187404</v>
      </c>
      <c r="AJ53" s="24">
        <v>68</v>
      </c>
      <c r="AK53" s="29">
        <v>2</v>
      </c>
      <c r="AL53" s="14">
        <v>1</v>
      </c>
      <c r="AM53" s="29">
        <v>2</v>
      </c>
      <c r="AN53" s="30">
        <v>20</v>
      </c>
      <c r="AO53" s="29">
        <v>1</v>
      </c>
      <c r="AP53" s="35">
        <v>95</v>
      </c>
      <c r="AQ53" s="35">
        <v>93.3333333333333</v>
      </c>
      <c r="AR53" s="35">
        <v>93.3333333333333</v>
      </c>
      <c r="AS53" s="35">
        <v>0</v>
      </c>
      <c r="AT53" s="35">
        <v>26</v>
      </c>
      <c r="AU53" s="35">
        <v>36</v>
      </c>
      <c r="AV53" s="35">
        <v>67.6666666666667</v>
      </c>
      <c r="AW53" s="35">
        <v>29.1666666666667</v>
      </c>
      <c r="AX53" s="35">
        <v>16.6666666666667</v>
      </c>
      <c r="AY53" s="35">
        <v>69.6153846153846</v>
      </c>
      <c r="AZ53" s="35">
        <v>33.7037037037037</v>
      </c>
      <c r="BA53" s="29">
        <v>4</v>
      </c>
      <c r="BB53" s="29">
        <v>1</v>
      </c>
      <c r="BC53" s="29">
        <v>0</v>
      </c>
      <c r="BD53" s="36">
        <v>0</v>
      </c>
      <c r="BE53" s="38">
        <v>814</v>
      </c>
      <c r="BF53" s="36">
        <f t="shared" si="0"/>
        <v>0</v>
      </c>
    </row>
    <row r="54" spans="1:58">
      <c r="A54" s="14" t="s">
        <v>130</v>
      </c>
      <c r="B54" s="14" t="s">
        <v>130</v>
      </c>
      <c r="C54" s="15" t="s">
        <v>73</v>
      </c>
      <c r="D54" s="16">
        <v>13.8613461185595</v>
      </c>
      <c r="E54" s="16">
        <v>-0.523070656223212</v>
      </c>
      <c r="F54" s="16">
        <v>3.27034187125101</v>
      </c>
      <c r="G54" s="16">
        <v>-0.393116364713205</v>
      </c>
      <c r="H54" s="16">
        <v>68.8871966735106</v>
      </c>
      <c r="I54" s="16">
        <v>0.665644718346435</v>
      </c>
      <c r="J54" s="16">
        <v>0.762738344395479</v>
      </c>
      <c r="K54" s="16">
        <v>-0.399787428194298</v>
      </c>
      <c r="L54" s="16">
        <v>0</v>
      </c>
      <c r="M54" s="16">
        <v>-0.424781864658015</v>
      </c>
      <c r="N54" s="16">
        <v>1.97228027004062</v>
      </c>
      <c r="O54" s="16">
        <v>-0.0385499350206507</v>
      </c>
      <c r="P54" s="16">
        <v>3.53664122643295</v>
      </c>
      <c r="Q54" s="16">
        <v>-0.431104254927201</v>
      </c>
      <c r="R54" s="16">
        <v>5.12938607504152</v>
      </c>
      <c r="S54" s="16">
        <v>0.0543511041504191</v>
      </c>
      <c r="T54" s="16">
        <v>3.54680009559625</v>
      </c>
      <c r="U54" s="16">
        <v>-0.486786064932491</v>
      </c>
      <c r="V54" s="16">
        <v>5.5204746857764</v>
      </c>
      <c r="W54" s="16">
        <v>-0.220453647064708</v>
      </c>
      <c r="X54" s="16">
        <v>0</v>
      </c>
      <c r="Y54" s="16">
        <v>-0.277910558663702</v>
      </c>
      <c r="Z54" s="16">
        <v>26.8167013639554</v>
      </c>
      <c r="AA54" s="16">
        <v>0.75117108266346</v>
      </c>
      <c r="AB54" s="16">
        <v>4.36103380337568</v>
      </c>
      <c r="AC54" s="16">
        <v>-0.166484043228968</v>
      </c>
      <c r="AD54" s="16">
        <v>62.8062684505979</v>
      </c>
      <c r="AE54" s="16">
        <v>0.411598001217998</v>
      </c>
      <c r="AF54" s="16">
        <v>1516.2409897145</v>
      </c>
      <c r="AG54" s="16">
        <v>2.85453424368291</v>
      </c>
      <c r="AH54" s="16">
        <v>269.406786611296</v>
      </c>
      <c r="AI54" s="23">
        <v>0.111219477411748</v>
      </c>
      <c r="AJ54" s="24">
        <v>55</v>
      </c>
      <c r="AK54" s="29">
        <v>1</v>
      </c>
      <c r="AL54" s="14">
        <v>1</v>
      </c>
      <c r="AM54" s="29">
        <v>3</v>
      </c>
      <c r="AN54" s="30">
        <v>5</v>
      </c>
      <c r="AO54" s="29">
        <v>1</v>
      </c>
      <c r="AP54" s="35">
        <v>70</v>
      </c>
      <c r="AQ54" s="35">
        <v>55</v>
      </c>
      <c r="AR54" s="35">
        <v>71.6666666666667</v>
      </c>
      <c r="AS54" s="35">
        <v>2</v>
      </c>
      <c r="AT54" s="35">
        <v>19</v>
      </c>
      <c r="AU54" s="35">
        <v>17</v>
      </c>
      <c r="AV54" s="35">
        <v>63.3333333333333</v>
      </c>
      <c r="AW54" s="35">
        <v>9.72222222222222</v>
      </c>
      <c r="AX54" s="35">
        <v>66.6666666666667</v>
      </c>
      <c r="AY54" s="35">
        <v>79.9145299145299</v>
      </c>
      <c r="AZ54" s="35">
        <v>20.4938271604938</v>
      </c>
      <c r="BA54" s="29" t="s">
        <v>74</v>
      </c>
      <c r="BB54" s="29">
        <v>0</v>
      </c>
      <c r="BC54" s="29">
        <v>0</v>
      </c>
      <c r="BD54" s="36">
        <v>0</v>
      </c>
      <c r="BE54" s="38">
        <v>1018</v>
      </c>
      <c r="BF54" s="36">
        <f t="shared" si="0"/>
        <v>0</v>
      </c>
    </row>
    <row r="55" spans="1:58">
      <c r="A55" s="14" t="s">
        <v>131</v>
      </c>
      <c r="B55" s="14" t="s">
        <v>131</v>
      </c>
      <c r="C55" s="15" t="s">
        <v>73</v>
      </c>
      <c r="D55" s="16">
        <v>102.725513643609</v>
      </c>
      <c r="E55" s="16">
        <v>1.61791670136078</v>
      </c>
      <c r="F55" s="16">
        <v>13.6268823106814</v>
      </c>
      <c r="G55" s="16">
        <v>-0.150818822902456</v>
      </c>
      <c r="H55" s="16">
        <v>39.336953125926</v>
      </c>
      <c r="I55" s="16">
        <v>-0.366308769640527</v>
      </c>
      <c r="J55" s="16">
        <v>1.20921506243972</v>
      </c>
      <c r="K55" s="16">
        <v>-0.386785098039345</v>
      </c>
      <c r="L55" s="16">
        <v>1.37817234352511</v>
      </c>
      <c r="M55" s="16">
        <v>-0.313579462180389</v>
      </c>
      <c r="N55" s="16">
        <v>1.12880765821745</v>
      </c>
      <c r="O55" s="16">
        <v>-0.445254331843829</v>
      </c>
      <c r="P55" s="16">
        <v>8.34137019023319</v>
      </c>
      <c r="Q55" s="16">
        <v>-0.0803537837064289</v>
      </c>
      <c r="R55" s="16">
        <v>11.4739390003321</v>
      </c>
      <c r="S55" s="16">
        <v>1.56610477054429</v>
      </c>
      <c r="T55" s="16">
        <v>612.562255395553</v>
      </c>
      <c r="U55" s="16">
        <v>5.47425699113639</v>
      </c>
      <c r="V55" s="16">
        <v>10.7958842453292</v>
      </c>
      <c r="W55" s="16">
        <v>-0.137699669924049</v>
      </c>
      <c r="X55" s="16">
        <v>0.823794329809438</v>
      </c>
      <c r="Y55" s="16">
        <v>-0.257161498605878</v>
      </c>
      <c r="Z55" s="16">
        <v>8.76179685882957</v>
      </c>
      <c r="AA55" s="16">
        <v>-0.918809789534293</v>
      </c>
      <c r="AB55" s="16">
        <v>1.59571568423016</v>
      </c>
      <c r="AC55" s="16">
        <v>-0.325168843243889</v>
      </c>
      <c r="AD55" s="16">
        <v>52.3191185155951</v>
      </c>
      <c r="AE55" s="16">
        <v>0.0258205511890894</v>
      </c>
      <c r="AF55" s="16">
        <v>408.814677578085</v>
      </c>
      <c r="AG55" s="16">
        <v>-0.471426717516384</v>
      </c>
      <c r="AH55" s="20">
        <v>220.442910598818</v>
      </c>
      <c r="AI55" s="23">
        <v>-0.0937573831351809</v>
      </c>
      <c r="AJ55" s="24">
        <v>76</v>
      </c>
      <c r="AK55" s="29">
        <v>2</v>
      </c>
      <c r="AL55" s="14">
        <v>2</v>
      </c>
      <c r="AM55" s="29">
        <v>2</v>
      </c>
      <c r="AN55" s="30">
        <v>20</v>
      </c>
      <c r="AO55" s="29">
        <v>1</v>
      </c>
      <c r="AP55" s="35">
        <v>31.25</v>
      </c>
      <c r="AQ55" s="35">
        <v>45</v>
      </c>
      <c r="AR55" s="35">
        <v>33.3333333333333</v>
      </c>
      <c r="AS55" s="35">
        <v>7</v>
      </c>
      <c r="AT55" s="35">
        <v>20</v>
      </c>
      <c r="AU55" s="35">
        <v>16</v>
      </c>
      <c r="AV55" s="35">
        <v>96.6666666666667</v>
      </c>
      <c r="AW55" s="35">
        <v>13.1944444444444</v>
      </c>
      <c r="AX55" s="35">
        <v>75</v>
      </c>
      <c r="AY55" s="35">
        <v>90.5982905982906</v>
      </c>
      <c r="AZ55" s="35">
        <v>14.8148148148148</v>
      </c>
      <c r="BA55" s="29">
        <v>4</v>
      </c>
      <c r="BB55" s="29">
        <v>1</v>
      </c>
      <c r="BC55" s="29">
        <v>0</v>
      </c>
      <c r="BD55" s="36">
        <v>0</v>
      </c>
      <c r="BE55" s="38">
        <v>1014</v>
      </c>
      <c r="BF55" s="36">
        <f t="shared" si="0"/>
        <v>0</v>
      </c>
    </row>
    <row r="56" spans="1:58">
      <c r="A56" s="14" t="s">
        <v>132</v>
      </c>
      <c r="B56" s="14" t="s">
        <v>132</v>
      </c>
      <c r="C56" s="15" t="s">
        <v>73</v>
      </c>
      <c r="D56" s="16">
        <v>6.56370467094318</v>
      </c>
      <c r="E56" s="16">
        <v>-0.698891333045771</v>
      </c>
      <c r="F56" s="16">
        <v>0</v>
      </c>
      <c r="G56" s="16">
        <v>-0.469627995302509</v>
      </c>
      <c r="H56" s="16">
        <v>18.1537559383035</v>
      </c>
      <c r="I56" s="16">
        <v>-1.1060682978245</v>
      </c>
      <c r="J56" s="16">
        <v>1.66330076685454</v>
      </c>
      <c r="K56" s="16">
        <v>-0.373561178383895</v>
      </c>
      <c r="L56" s="16">
        <v>0</v>
      </c>
      <c r="M56" s="16">
        <v>-0.424781864658015</v>
      </c>
      <c r="N56" s="16">
        <v>1.43194125163612</v>
      </c>
      <c r="O56" s="16">
        <v>-0.299089816790163</v>
      </c>
      <c r="P56" s="16">
        <v>4.8764843574644</v>
      </c>
      <c r="Q56" s="16">
        <v>-0.333294240436916</v>
      </c>
      <c r="R56" s="16">
        <v>2.28828766599749</v>
      </c>
      <c r="S56" s="16">
        <v>-0.622614000725176</v>
      </c>
      <c r="T56" s="16">
        <v>9.87649039037483</v>
      </c>
      <c r="U56" s="16">
        <v>-0.424831058617959</v>
      </c>
      <c r="V56" s="16">
        <v>0</v>
      </c>
      <c r="W56" s="16">
        <v>-0.307051897076419</v>
      </c>
      <c r="X56" s="16">
        <v>0.458080546304277</v>
      </c>
      <c r="Y56" s="16">
        <v>-0.266372799270788</v>
      </c>
      <c r="Z56" s="16">
        <v>24.9061090134916</v>
      </c>
      <c r="AA56" s="16">
        <v>0.574451638983431</v>
      </c>
      <c r="AB56" s="16">
        <v>1.00427802603513</v>
      </c>
      <c r="AC56" s="16">
        <v>-0.359107855852309</v>
      </c>
      <c r="AD56" s="16">
        <v>14.7517954226115</v>
      </c>
      <c r="AE56" s="16">
        <v>-1.35612079579705</v>
      </c>
      <c r="AF56" s="16">
        <v>161.091621829394</v>
      </c>
      <c r="AG56" s="16">
        <v>-1.21541952641007</v>
      </c>
      <c r="AH56" s="20">
        <v>111.676280853314</v>
      </c>
      <c r="AI56" s="23">
        <v>-0.549085762200228</v>
      </c>
      <c r="AJ56" s="24">
        <v>59</v>
      </c>
      <c r="AK56" s="29">
        <v>1</v>
      </c>
      <c r="AL56" s="14">
        <v>5</v>
      </c>
      <c r="AM56" s="29">
        <v>1</v>
      </c>
      <c r="AN56" s="30">
        <v>0</v>
      </c>
      <c r="AO56" s="29">
        <v>2</v>
      </c>
      <c r="AP56" s="35">
        <v>15</v>
      </c>
      <c r="AQ56" s="35">
        <v>8.33333333333333</v>
      </c>
      <c r="AR56" s="35">
        <v>10</v>
      </c>
      <c r="AS56" s="35">
        <v>26</v>
      </c>
      <c r="AT56" s="35">
        <v>25</v>
      </c>
      <c r="AU56" s="35">
        <v>6</v>
      </c>
      <c r="AV56" s="35">
        <v>68.6666666666667</v>
      </c>
      <c r="AW56" s="35">
        <v>18.0555555555556</v>
      </c>
      <c r="AX56" s="35">
        <v>66.6666666666667</v>
      </c>
      <c r="AY56" s="35">
        <v>76.8376068376068</v>
      </c>
      <c r="AZ56" s="35">
        <v>23.1481481481481</v>
      </c>
      <c r="BA56" s="29" t="s">
        <v>79</v>
      </c>
      <c r="BB56" s="29">
        <v>0</v>
      </c>
      <c r="BC56" s="29">
        <v>0</v>
      </c>
      <c r="BD56" s="36">
        <f>0</f>
        <v>0</v>
      </c>
      <c r="BE56" s="38">
        <v>945</v>
      </c>
      <c r="BF56" s="36">
        <f t="shared" si="0"/>
        <v>0</v>
      </c>
    </row>
    <row r="57" spans="1:58">
      <c r="A57" s="14" t="s">
        <v>133</v>
      </c>
      <c r="B57" s="14" t="s">
        <v>133</v>
      </c>
      <c r="C57" s="15" t="s">
        <v>73</v>
      </c>
      <c r="D57" s="16">
        <v>283.399454022896</v>
      </c>
      <c r="E57" s="16">
        <v>5.97085932120694</v>
      </c>
      <c r="F57" s="16">
        <v>22.9812639885931</v>
      </c>
      <c r="G57" s="16">
        <v>0.0680326071646847</v>
      </c>
      <c r="H57" s="16">
        <v>59.4914266447909</v>
      </c>
      <c r="I57" s="16">
        <v>0.337525674662506</v>
      </c>
      <c r="J57" s="16">
        <v>13.3227967230735</v>
      </c>
      <c r="K57" s="16">
        <v>-0.0340124186474981</v>
      </c>
      <c r="L57" s="16">
        <v>6.96456158727547</v>
      </c>
      <c r="M57" s="16">
        <v>0.137176865936924</v>
      </c>
      <c r="N57" s="16">
        <v>3.09803771356212</v>
      </c>
      <c r="O57" s="16">
        <v>0.504266151262186</v>
      </c>
      <c r="P57" s="16">
        <v>3.48074632735714</v>
      </c>
      <c r="Q57" s="16">
        <v>-0.435184643714454</v>
      </c>
      <c r="R57" s="16">
        <v>3.02875422934716</v>
      </c>
      <c r="S57" s="16">
        <v>-0.446178709670422</v>
      </c>
      <c r="T57" s="16">
        <v>21.2000032908992</v>
      </c>
      <c r="U57" s="16">
        <v>-0.313996518445688</v>
      </c>
      <c r="V57" s="16">
        <v>18.2371126819712</v>
      </c>
      <c r="W57" s="16">
        <v>-0.0209710555875169</v>
      </c>
      <c r="X57" s="16">
        <v>4.42348240753592</v>
      </c>
      <c r="Y57" s="16">
        <v>-0.166495489613731</v>
      </c>
      <c r="Z57" s="16">
        <v>12.0692185777019</v>
      </c>
      <c r="AA57" s="16">
        <v>-0.612891195213281</v>
      </c>
      <c r="AB57" s="16">
        <v>4.67511046730589</v>
      </c>
      <c r="AC57" s="16">
        <v>-0.14846109235758</v>
      </c>
      <c r="AD57" s="16">
        <v>110.30738692717</v>
      </c>
      <c r="AE57" s="16">
        <v>2.15896124795203</v>
      </c>
      <c r="AF57" s="16">
        <v>578.347143976985</v>
      </c>
      <c r="AG57" s="16">
        <v>0.0377343514587543</v>
      </c>
      <c r="AH57" s="20">
        <v>129.365533363499</v>
      </c>
      <c r="AI57" s="23">
        <v>-0.475033466094512</v>
      </c>
      <c r="AJ57" s="24">
        <v>30</v>
      </c>
      <c r="AK57" s="29">
        <v>1</v>
      </c>
      <c r="AL57" s="14">
        <v>4</v>
      </c>
      <c r="AM57" s="29">
        <v>1</v>
      </c>
      <c r="AN57" s="30">
        <v>0</v>
      </c>
      <c r="AO57" s="29">
        <v>3</v>
      </c>
      <c r="AP57" s="35">
        <v>51.875</v>
      </c>
      <c r="AQ57" s="35">
        <v>28.3333333333333</v>
      </c>
      <c r="AR57" s="35">
        <v>70</v>
      </c>
      <c r="AS57" s="35">
        <v>0</v>
      </c>
      <c r="AT57" s="35">
        <v>0</v>
      </c>
      <c r="AU57" s="35">
        <v>0</v>
      </c>
      <c r="AV57" s="35">
        <v>93.3333333333333</v>
      </c>
      <c r="AW57" s="35">
        <v>9.72222222222222</v>
      </c>
      <c r="AX57" s="35">
        <v>50</v>
      </c>
      <c r="AY57" s="35">
        <v>91.4529914529915</v>
      </c>
      <c r="AZ57" s="35">
        <v>4.16666666666667</v>
      </c>
      <c r="BA57" s="29" t="s">
        <v>79</v>
      </c>
      <c r="BB57" s="29">
        <v>0</v>
      </c>
      <c r="BC57" s="29">
        <v>0</v>
      </c>
      <c r="BD57" s="37">
        <v>0</v>
      </c>
      <c r="BE57" s="38">
        <v>631</v>
      </c>
      <c r="BF57" s="36">
        <f t="shared" si="0"/>
        <v>0</v>
      </c>
    </row>
    <row r="58" spans="1:58">
      <c r="A58" s="14" t="s">
        <v>134</v>
      </c>
      <c r="B58" s="14" t="s">
        <v>134</v>
      </c>
      <c r="C58" s="15" t="s">
        <v>73</v>
      </c>
      <c r="D58" s="16">
        <v>63.779552939201</v>
      </c>
      <c r="E58" s="16">
        <v>0.679599134006131</v>
      </c>
      <c r="F58" s="16">
        <v>7.36246815559763</v>
      </c>
      <c r="G58" s="16">
        <v>-0.297378589606243</v>
      </c>
      <c r="H58" s="16">
        <v>65.2994441635602</v>
      </c>
      <c r="I58" s="16">
        <v>0.540353239421216</v>
      </c>
      <c r="J58" s="16">
        <v>1.20921506243972</v>
      </c>
      <c r="K58" s="16">
        <v>-0.386785098039345</v>
      </c>
      <c r="L58" s="16">
        <v>0</v>
      </c>
      <c r="M58" s="16">
        <v>-0.424781864658015</v>
      </c>
      <c r="N58" s="16">
        <v>1.067859094397</v>
      </c>
      <c r="O58" s="16">
        <v>-0.474642421674341</v>
      </c>
      <c r="P58" s="16">
        <v>80.2348613999729</v>
      </c>
      <c r="Q58" s="16">
        <v>5.16794973341389</v>
      </c>
      <c r="R58" s="16">
        <v>7.39742836641811</v>
      </c>
      <c r="S58" s="16">
        <v>0.59477078224269</v>
      </c>
      <c r="T58" s="16">
        <v>32.2677601224133</v>
      </c>
      <c r="U58" s="16">
        <v>-0.205665318584329</v>
      </c>
      <c r="V58" s="16">
        <v>13.5483147248901</v>
      </c>
      <c r="W58" s="16">
        <v>-0.094523009151924</v>
      </c>
      <c r="X58" s="16">
        <v>2.76614091669523</v>
      </c>
      <c r="Y58" s="16">
        <v>-0.20823925609211</v>
      </c>
      <c r="Z58" s="16">
        <v>26.0185969218641</v>
      </c>
      <c r="AA58" s="16">
        <v>0.677350744708743</v>
      </c>
      <c r="AB58" s="16">
        <v>8.18696466687591</v>
      </c>
      <c r="AC58" s="16">
        <v>0.0530628760719636</v>
      </c>
      <c r="AD58" s="16">
        <v>56.287688369548</v>
      </c>
      <c r="AE58" s="16">
        <v>0.17180728428705</v>
      </c>
      <c r="AF58" s="16">
        <v>629.695079986242</v>
      </c>
      <c r="AG58" s="16">
        <v>0.191948883598127</v>
      </c>
      <c r="AH58" s="20">
        <v>165.458889315348</v>
      </c>
      <c r="AI58" s="23">
        <v>-0.323936302386978</v>
      </c>
      <c r="AJ58" s="24">
        <v>88</v>
      </c>
      <c r="AK58" s="29">
        <v>2</v>
      </c>
      <c r="AL58" s="14">
        <v>2</v>
      </c>
      <c r="AM58" s="29">
        <v>1</v>
      </c>
      <c r="AN58" s="30">
        <v>0</v>
      </c>
      <c r="AO58" s="29">
        <v>1</v>
      </c>
      <c r="AP58" s="35">
        <v>85</v>
      </c>
      <c r="AQ58" s="35">
        <v>80</v>
      </c>
      <c r="AR58" s="35">
        <v>90</v>
      </c>
      <c r="AS58" s="35">
        <v>12</v>
      </c>
      <c r="AT58" s="35">
        <v>14</v>
      </c>
      <c r="AU58" s="35">
        <v>30</v>
      </c>
      <c r="AV58" s="35">
        <v>54</v>
      </c>
      <c r="AW58" s="35">
        <v>20.1388888888889</v>
      </c>
      <c r="AX58" s="35">
        <v>50</v>
      </c>
      <c r="AY58" s="35">
        <v>69.9145299145299</v>
      </c>
      <c r="AZ58" s="35">
        <v>37.1604938271605</v>
      </c>
      <c r="BA58" s="29">
        <v>5</v>
      </c>
      <c r="BB58" s="29">
        <v>0</v>
      </c>
      <c r="BC58" s="29">
        <v>0</v>
      </c>
      <c r="BD58" s="36">
        <v>1</v>
      </c>
      <c r="BE58" s="38">
        <v>256</v>
      </c>
      <c r="BF58" s="36">
        <f t="shared" si="0"/>
        <v>1</v>
      </c>
    </row>
    <row r="59" spans="1:58">
      <c r="A59" s="14" t="s">
        <v>135</v>
      </c>
      <c r="B59" s="14" t="s">
        <v>135</v>
      </c>
      <c r="C59" s="15" t="s">
        <v>73</v>
      </c>
      <c r="D59" s="16">
        <v>10.4732228908809</v>
      </c>
      <c r="E59" s="16">
        <v>-0.60470005982227</v>
      </c>
      <c r="F59" s="16">
        <v>6.04027585182763</v>
      </c>
      <c r="G59" s="16">
        <v>-0.328312080078104</v>
      </c>
      <c r="H59" s="16">
        <v>53.4169822458136</v>
      </c>
      <c r="I59" s="16">
        <v>0.125393951449691</v>
      </c>
      <c r="J59" s="16">
        <v>0.328222126500871</v>
      </c>
      <c r="K59" s="16">
        <v>-0.412441443721682</v>
      </c>
      <c r="L59" s="16">
        <v>0</v>
      </c>
      <c r="M59" s="16">
        <v>-0.424781864658015</v>
      </c>
      <c r="N59" s="16">
        <v>3.03916986918766</v>
      </c>
      <c r="O59" s="16">
        <v>0.475881339706959</v>
      </c>
      <c r="P59" s="16">
        <v>0.82471804993546</v>
      </c>
      <c r="Q59" s="16">
        <v>-0.629077613931969</v>
      </c>
      <c r="R59" s="16">
        <v>2.95181545136986</v>
      </c>
      <c r="S59" s="16">
        <v>-0.464511361484454</v>
      </c>
      <c r="T59" s="16">
        <v>3.1777528418217</v>
      </c>
      <c r="U59" s="16">
        <v>-0.490398299318876</v>
      </c>
      <c r="V59" s="16">
        <v>4.33287555444609</v>
      </c>
      <c r="W59" s="16">
        <v>-0.239083205633939</v>
      </c>
      <c r="X59" s="16">
        <v>2.87749571139827</v>
      </c>
      <c r="Y59" s="16">
        <v>-0.20543454229473</v>
      </c>
      <c r="Z59" s="16">
        <v>26.1779887548483</v>
      </c>
      <c r="AA59" s="16">
        <v>0.692093625912716</v>
      </c>
      <c r="AB59" s="16">
        <v>3.89197585256623</v>
      </c>
      <c r="AC59" s="16">
        <v>-0.193400428220727</v>
      </c>
      <c r="AD59" s="16">
        <v>44.7759570405392</v>
      </c>
      <c r="AE59" s="16">
        <v>-0.251660138706529</v>
      </c>
      <c r="AF59" s="16">
        <v>553.523601930207</v>
      </c>
      <c r="AG59" s="16">
        <v>-0.036818809199851</v>
      </c>
      <c r="AH59" s="20">
        <v>532.122630740256</v>
      </c>
      <c r="AI59" s="23">
        <v>1.21102352339387</v>
      </c>
      <c r="AJ59" s="24">
        <v>22</v>
      </c>
      <c r="AK59" s="29">
        <v>2</v>
      </c>
      <c r="AL59" s="14">
        <v>1</v>
      </c>
      <c r="AM59" s="29">
        <v>1</v>
      </c>
      <c r="AN59" s="30">
        <v>0</v>
      </c>
      <c r="AO59" s="29">
        <v>3</v>
      </c>
      <c r="AP59" s="35">
        <v>3.75</v>
      </c>
      <c r="AQ59" s="35">
        <v>0</v>
      </c>
      <c r="AR59" s="35">
        <v>0</v>
      </c>
      <c r="AS59" s="35">
        <v>0</v>
      </c>
      <c r="AT59" s="35">
        <v>6</v>
      </c>
      <c r="AU59" s="35">
        <v>0</v>
      </c>
      <c r="AV59" s="35">
        <v>93.3333333333333</v>
      </c>
      <c r="AW59" s="35">
        <v>1.38888888888889</v>
      </c>
      <c r="AX59" s="35">
        <v>83.3333333333333</v>
      </c>
      <c r="AY59" s="35">
        <v>96.5811965811966</v>
      </c>
      <c r="AZ59" s="35">
        <v>0.462962962962963</v>
      </c>
      <c r="BA59" s="29" t="s">
        <v>74</v>
      </c>
      <c r="BB59" s="29">
        <v>0</v>
      </c>
      <c r="BC59" s="29">
        <v>0</v>
      </c>
      <c r="BD59" s="36">
        <v>0</v>
      </c>
      <c r="BE59" s="38">
        <v>895</v>
      </c>
      <c r="BF59" s="36">
        <f t="shared" si="0"/>
        <v>0</v>
      </c>
    </row>
    <row r="60" spans="1:58">
      <c r="A60" s="14" t="s">
        <v>136</v>
      </c>
      <c r="B60" s="14" t="s">
        <v>136</v>
      </c>
      <c r="C60" s="15" t="s">
        <v>73</v>
      </c>
      <c r="D60" s="16">
        <v>19.3081194796718</v>
      </c>
      <c r="E60" s="16">
        <v>-0.391842589494522</v>
      </c>
      <c r="F60" s="16">
        <v>13.6268823106814</v>
      </c>
      <c r="G60" s="16">
        <v>-0.150818822902456</v>
      </c>
      <c r="H60" s="16">
        <v>13.6961708174998</v>
      </c>
      <c r="I60" s="16">
        <v>-1.26173606773661</v>
      </c>
      <c r="J60" s="16">
        <v>5.43646985560932</v>
      </c>
      <c r="K60" s="16">
        <v>-0.263678650942472</v>
      </c>
      <c r="L60" s="16">
        <v>3.1180708275348</v>
      </c>
      <c r="M60" s="16">
        <v>-0.17318998738207</v>
      </c>
      <c r="N60" s="16">
        <v>1.12880765821745</v>
      </c>
      <c r="O60" s="16">
        <v>-0.445254331843829</v>
      </c>
      <c r="P60" s="16">
        <v>3.08919379445139</v>
      </c>
      <c r="Q60" s="16">
        <v>-0.463768407014966</v>
      </c>
      <c r="R60" s="16">
        <v>2.08543909303722</v>
      </c>
      <c r="S60" s="16">
        <v>-0.670947914478667</v>
      </c>
      <c r="T60" s="16">
        <v>15.5192723256324</v>
      </c>
      <c r="U60" s="16">
        <v>-0.369599511077822</v>
      </c>
      <c r="V60" s="16">
        <v>10.7958842453292</v>
      </c>
      <c r="W60" s="16">
        <v>-0.137699669924049</v>
      </c>
      <c r="X60" s="16">
        <v>4.64306511069576</v>
      </c>
      <c r="Y60" s="16">
        <v>-0.160964819480839</v>
      </c>
      <c r="Z60" s="16">
        <v>13.2444137334273</v>
      </c>
      <c r="AA60" s="16">
        <v>-0.504192008762103</v>
      </c>
      <c r="AB60" s="16">
        <v>3.11638905519851</v>
      </c>
      <c r="AC60" s="16">
        <v>-0.237906640718455</v>
      </c>
      <c r="AD60" s="16">
        <v>25.5991391060105</v>
      </c>
      <c r="AE60" s="16">
        <v>-0.957093356339757</v>
      </c>
      <c r="AF60" s="16">
        <v>220.413446722595</v>
      </c>
      <c r="AG60" s="16">
        <v>-1.03725681564581</v>
      </c>
      <c r="AH60" s="20">
        <v>191.438641579946</v>
      </c>
      <c r="AI60" s="23">
        <v>-0.215177591054012</v>
      </c>
      <c r="AJ60" s="24">
        <v>49</v>
      </c>
      <c r="AK60" s="29">
        <v>1</v>
      </c>
      <c r="AL60" s="14">
        <v>2</v>
      </c>
      <c r="AM60" s="29">
        <v>2</v>
      </c>
      <c r="AN60" s="30">
        <v>30</v>
      </c>
      <c r="AO60" s="29">
        <v>2</v>
      </c>
      <c r="AP60" s="35">
        <v>82.5</v>
      </c>
      <c r="AQ60" s="35">
        <v>63.3333333333333</v>
      </c>
      <c r="AR60" s="35">
        <v>90</v>
      </c>
      <c r="AS60" s="35">
        <v>20</v>
      </c>
      <c r="AT60" s="35">
        <v>39</v>
      </c>
      <c r="AU60" s="35">
        <v>35</v>
      </c>
      <c r="AV60" s="35">
        <v>43.6666666666667</v>
      </c>
      <c r="AW60" s="35">
        <v>28.4722222222222</v>
      </c>
      <c r="AX60" s="35">
        <v>58.3333333333333</v>
      </c>
      <c r="AY60" s="35">
        <v>60.8119658119658</v>
      </c>
      <c r="AZ60" s="35">
        <v>50.0925925925926</v>
      </c>
      <c r="BA60" s="29" t="s">
        <v>79</v>
      </c>
      <c r="BB60" s="29">
        <v>0</v>
      </c>
      <c r="BC60" s="29">
        <v>0</v>
      </c>
      <c r="BD60" s="36">
        <v>0</v>
      </c>
      <c r="BE60" s="38">
        <v>846</v>
      </c>
      <c r="BF60" s="36">
        <f t="shared" si="0"/>
        <v>0</v>
      </c>
    </row>
    <row r="61" spans="1:58">
      <c r="A61" s="14" t="s">
        <v>137</v>
      </c>
      <c r="B61" s="14" t="s">
        <v>137</v>
      </c>
      <c r="C61" s="15" t="s">
        <v>73</v>
      </c>
      <c r="D61" s="16">
        <v>8.74708404562424</v>
      </c>
      <c r="E61" s="16">
        <v>-0.646287592210815</v>
      </c>
      <c r="F61" s="16">
        <v>0.04367910942995</v>
      </c>
      <c r="G61" s="16">
        <v>-0.468606096058716</v>
      </c>
      <c r="H61" s="16">
        <v>21.5321820709395</v>
      </c>
      <c r="I61" s="16">
        <v>-0.988086913817768</v>
      </c>
      <c r="J61" s="16">
        <v>0</v>
      </c>
      <c r="K61" s="16">
        <v>-0.421999954345974</v>
      </c>
      <c r="L61" s="16">
        <v>0</v>
      </c>
      <c r="M61" s="16">
        <v>-0.424781864658015</v>
      </c>
      <c r="N61" s="16">
        <v>1.49228427036237</v>
      </c>
      <c r="O61" s="16">
        <v>-0.269993707812182</v>
      </c>
      <c r="P61" s="16">
        <v>0.708368812611689</v>
      </c>
      <c r="Q61" s="16">
        <v>-0.637571235554532</v>
      </c>
      <c r="R61" s="16">
        <v>1.70705533964855</v>
      </c>
      <c r="S61" s="16">
        <v>-0.761107620485532</v>
      </c>
      <c r="T61" s="16">
        <v>12.5044395335392</v>
      </c>
      <c r="U61" s="16">
        <v>-0.39910869335574</v>
      </c>
      <c r="V61" s="16">
        <v>7.52629781681531</v>
      </c>
      <c r="W61" s="16">
        <v>-0.188988821507492</v>
      </c>
      <c r="X61" s="16">
        <v>0</v>
      </c>
      <c r="Y61" s="16">
        <v>-0.277910558663702</v>
      </c>
      <c r="Z61" s="16">
        <v>17.5198075482346</v>
      </c>
      <c r="AA61" s="16">
        <v>-0.108741238595263</v>
      </c>
      <c r="AB61" s="16">
        <v>1.00427802603513</v>
      </c>
      <c r="AC61" s="16">
        <v>-0.359107855852309</v>
      </c>
      <c r="AD61" s="16">
        <v>25.9511319816541</v>
      </c>
      <c r="AE61" s="16">
        <v>-0.944145041989744</v>
      </c>
      <c r="AF61" s="16">
        <v>422.442710464976</v>
      </c>
      <c r="AG61" s="16">
        <v>-0.430497307710058</v>
      </c>
      <c r="AH61" s="20">
        <v>283.155585778329</v>
      </c>
      <c r="AI61" s="23">
        <v>0.168775903067888</v>
      </c>
      <c r="AJ61" s="24">
        <v>77</v>
      </c>
      <c r="AK61" s="29">
        <v>1</v>
      </c>
      <c r="AL61" s="14">
        <v>1</v>
      </c>
      <c r="AM61" s="29">
        <v>1</v>
      </c>
      <c r="AN61" s="30">
        <v>0</v>
      </c>
      <c r="AO61" s="29">
        <v>3</v>
      </c>
      <c r="AP61" s="35">
        <v>0</v>
      </c>
      <c r="AQ61" s="35">
        <v>0</v>
      </c>
      <c r="AR61" s="35">
        <v>0</v>
      </c>
      <c r="AS61" s="35">
        <v>0</v>
      </c>
      <c r="AT61" s="35">
        <v>0</v>
      </c>
      <c r="AU61" s="35">
        <v>0</v>
      </c>
      <c r="AV61" s="35">
        <v>100</v>
      </c>
      <c r="AW61" s="35">
        <v>0</v>
      </c>
      <c r="AX61" s="35">
        <v>91.6666666666667</v>
      </c>
      <c r="AY61" s="35">
        <v>100</v>
      </c>
      <c r="AZ61" s="35">
        <v>11.1111111111111</v>
      </c>
      <c r="BA61" s="29" t="s">
        <v>79</v>
      </c>
      <c r="BB61" s="29">
        <v>0</v>
      </c>
      <c r="BC61" s="29">
        <v>0</v>
      </c>
      <c r="BD61" s="36">
        <v>0</v>
      </c>
      <c r="BE61" s="38">
        <v>896</v>
      </c>
      <c r="BF61" s="36">
        <f t="shared" si="0"/>
        <v>0</v>
      </c>
    </row>
    <row r="62" spans="1:58">
      <c r="A62" s="14" t="s">
        <v>138</v>
      </c>
      <c r="B62" s="14" t="s">
        <v>138</v>
      </c>
      <c r="C62" s="15" t="s">
        <v>73</v>
      </c>
      <c r="D62" s="16">
        <v>8.74708404562424</v>
      </c>
      <c r="E62" s="16">
        <v>-0.646287592210815</v>
      </c>
      <c r="F62" s="16">
        <v>6.04027585182763</v>
      </c>
      <c r="G62" s="16">
        <v>-0.328312080078104</v>
      </c>
      <c r="H62" s="16">
        <v>10.943352209737</v>
      </c>
      <c r="I62" s="16">
        <v>-1.35786998824057</v>
      </c>
      <c r="J62" s="16">
        <v>0</v>
      </c>
      <c r="K62" s="16">
        <v>-0.421999954345974</v>
      </c>
      <c r="L62" s="16">
        <v>0</v>
      </c>
      <c r="M62" s="16">
        <v>-0.424781864658015</v>
      </c>
      <c r="N62" s="16">
        <v>0.637206359290008</v>
      </c>
      <c r="O62" s="16">
        <v>-0.682293930943097</v>
      </c>
      <c r="P62" s="16">
        <v>4.98807518711533</v>
      </c>
      <c r="Q62" s="16">
        <v>-0.325147987780653</v>
      </c>
      <c r="R62" s="16">
        <v>3.33721338558918</v>
      </c>
      <c r="S62" s="16">
        <v>-0.372680345660751</v>
      </c>
      <c r="T62" s="16">
        <v>1.70766808319623</v>
      </c>
      <c r="U62" s="16">
        <v>-0.504787488404268</v>
      </c>
      <c r="V62" s="16">
        <v>0.674980968833916</v>
      </c>
      <c r="W62" s="16">
        <v>-0.296463646243057</v>
      </c>
      <c r="X62" s="16">
        <v>0.061249032563186</v>
      </c>
      <c r="Y62" s="16">
        <v>-0.276367867959056</v>
      </c>
      <c r="Z62" s="16">
        <v>10.8339704798021</v>
      </c>
      <c r="AA62" s="16">
        <v>-0.727144953538377</v>
      </c>
      <c r="AB62" s="16">
        <v>0.714312419824194</v>
      </c>
      <c r="AC62" s="16">
        <v>-0.375747219661564</v>
      </c>
      <c r="AD62" s="16">
        <v>29.8312503149704</v>
      </c>
      <c r="AE62" s="16">
        <v>-0.801412062513488</v>
      </c>
      <c r="AF62" s="16">
        <v>524.793975143589</v>
      </c>
      <c r="AG62" s="16">
        <v>-0.123103211218237</v>
      </c>
      <c r="AH62" s="20">
        <v>255.620911271085</v>
      </c>
      <c r="AI62" s="23">
        <v>0.0535078402364625</v>
      </c>
      <c r="AJ62" s="24">
        <v>73</v>
      </c>
      <c r="AK62" s="29">
        <v>1</v>
      </c>
      <c r="AL62" s="14">
        <v>3</v>
      </c>
      <c r="AM62" s="29">
        <v>2</v>
      </c>
      <c r="AN62" s="30">
        <v>49</v>
      </c>
      <c r="AO62" s="29">
        <v>1</v>
      </c>
      <c r="AP62" s="35">
        <v>67.5</v>
      </c>
      <c r="AQ62" s="35">
        <v>60</v>
      </c>
      <c r="AR62" s="35">
        <v>70</v>
      </c>
      <c r="AS62" s="35">
        <v>8</v>
      </c>
      <c r="AT62" s="35">
        <v>0</v>
      </c>
      <c r="AU62" s="35">
        <v>23</v>
      </c>
      <c r="AV62" s="35">
        <v>98.6666666666667</v>
      </c>
      <c r="AW62" s="35">
        <v>45.8333333333333</v>
      </c>
      <c r="AX62" s="35">
        <v>91.6666666666667</v>
      </c>
      <c r="AY62" s="35">
        <v>71.2820512820513</v>
      </c>
      <c r="AZ62" s="35">
        <v>36.2654320987654</v>
      </c>
      <c r="BA62" s="29">
        <v>4</v>
      </c>
      <c r="BB62" s="29">
        <v>1</v>
      </c>
      <c r="BC62" s="29">
        <v>1</v>
      </c>
      <c r="BD62" s="36">
        <v>0</v>
      </c>
      <c r="BE62" s="38">
        <v>874</v>
      </c>
      <c r="BF62" s="36">
        <f t="shared" si="0"/>
        <v>0</v>
      </c>
    </row>
    <row r="63" spans="1:58">
      <c r="A63" s="14" t="s">
        <v>139</v>
      </c>
      <c r="B63" s="14" t="s">
        <v>139</v>
      </c>
      <c r="C63" s="15" t="s">
        <v>73</v>
      </c>
      <c r="D63" s="16">
        <v>23.8759565226081</v>
      </c>
      <c r="E63" s="16">
        <v>-0.281790567033683</v>
      </c>
      <c r="F63" s="16">
        <v>14.8316551240304</v>
      </c>
      <c r="G63" s="16">
        <v>-0.122632432589772</v>
      </c>
      <c r="H63" s="16">
        <v>26.5038864199557</v>
      </c>
      <c r="I63" s="16">
        <v>-0.814465074256767</v>
      </c>
      <c r="J63" s="16">
        <v>7.37744685730779</v>
      </c>
      <c r="K63" s="16">
        <v>-0.207153365794784</v>
      </c>
      <c r="L63" s="16">
        <v>3.1180708275348</v>
      </c>
      <c r="M63" s="16">
        <v>-0.17318998738207</v>
      </c>
      <c r="N63" s="16">
        <v>0.822744893001723</v>
      </c>
      <c r="O63" s="16">
        <v>-0.592831230693027</v>
      </c>
      <c r="P63" s="16">
        <v>4.31846815337724</v>
      </c>
      <c r="Q63" s="16">
        <v>-0.374030033861899</v>
      </c>
      <c r="R63" s="16">
        <v>2.18677869885435</v>
      </c>
      <c r="S63" s="16">
        <v>-0.64680113495788</v>
      </c>
      <c r="T63" s="16">
        <v>69.9014650001575</v>
      </c>
      <c r="U63" s="16">
        <v>0.162693371139121</v>
      </c>
      <c r="V63" s="16">
        <v>15.9968506984475</v>
      </c>
      <c r="W63" s="16">
        <v>-0.0561134624245176</v>
      </c>
      <c r="X63" s="16">
        <v>48.2279011590535</v>
      </c>
      <c r="Y63" s="16">
        <v>0.936814502436812</v>
      </c>
      <c r="Z63" s="16">
        <v>20.9815339276855</v>
      </c>
      <c r="AA63" s="16">
        <v>0.21144970103691</v>
      </c>
      <c r="AB63" s="16">
        <v>3.11638905519851</v>
      </c>
      <c r="AC63" s="16">
        <v>-0.237906640718455</v>
      </c>
      <c r="AD63" s="16">
        <v>66.0765963137216</v>
      </c>
      <c r="AE63" s="16">
        <v>0.53189939402859</v>
      </c>
      <c r="AF63" s="16">
        <v>367.753881366974</v>
      </c>
      <c r="AG63" s="16">
        <v>-0.594745627079274</v>
      </c>
      <c r="AH63" s="20">
        <v>162.196654847242</v>
      </c>
      <c r="AI63" s="23">
        <v>-0.337592953659233</v>
      </c>
      <c r="AJ63" s="24">
        <v>80</v>
      </c>
      <c r="AK63" s="29">
        <v>2</v>
      </c>
      <c r="AL63" s="14">
        <v>1</v>
      </c>
      <c r="AM63" s="29">
        <v>1</v>
      </c>
      <c r="AN63" s="30">
        <v>0</v>
      </c>
      <c r="AO63" s="29">
        <v>3</v>
      </c>
      <c r="AP63" s="35">
        <v>56.25</v>
      </c>
      <c r="AQ63" s="35">
        <v>33.3333333333333</v>
      </c>
      <c r="AR63" s="35">
        <v>53.3333333333333</v>
      </c>
      <c r="AS63" s="35">
        <v>0</v>
      </c>
      <c r="AT63" s="35">
        <v>0</v>
      </c>
      <c r="AU63" s="35">
        <v>24</v>
      </c>
      <c r="AV63" s="35">
        <v>93.6666666666667</v>
      </c>
      <c r="AW63" s="35">
        <v>27.0833333333333</v>
      </c>
      <c r="AX63" s="35">
        <v>91.6666666666667</v>
      </c>
      <c r="AY63" s="35">
        <v>80.8974358974359</v>
      </c>
      <c r="AZ63" s="35">
        <v>44.9074074074074</v>
      </c>
      <c r="BA63" s="29">
        <v>5</v>
      </c>
      <c r="BB63" s="29">
        <v>1</v>
      </c>
      <c r="BC63" s="29">
        <v>1</v>
      </c>
      <c r="BD63" s="36">
        <v>1</v>
      </c>
      <c r="BE63" s="38">
        <v>184</v>
      </c>
      <c r="BF63" s="36">
        <f t="shared" si="0"/>
        <v>1</v>
      </c>
    </row>
    <row r="64" spans="1:58">
      <c r="A64" s="14" t="s">
        <v>140</v>
      </c>
      <c r="B64" s="14" t="s">
        <v>140</v>
      </c>
      <c r="C64" s="15" t="s">
        <v>73</v>
      </c>
      <c r="D64" s="16">
        <v>6.56370467094318</v>
      </c>
      <c r="E64" s="16">
        <v>-0.698891333045771</v>
      </c>
      <c r="F64" s="16">
        <v>8.65583515643869</v>
      </c>
      <c r="G64" s="16">
        <v>-0.267119484570569</v>
      </c>
      <c r="H64" s="16">
        <v>36.7223484596932</v>
      </c>
      <c r="I64" s="16">
        <v>-0.457615983426468</v>
      </c>
      <c r="J64" s="16">
        <v>2.12302267686387</v>
      </c>
      <c r="K64" s="16">
        <v>-0.360173120705119</v>
      </c>
      <c r="L64" s="16">
        <v>0</v>
      </c>
      <c r="M64" s="16">
        <v>-0.424781864658015</v>
      </c>
      <c r="N64" s="16">
        <v>1.61272169664605</v>
      </c>
      <c r="O64" s="16">
        <v>-0.211921364827904</v>
      </c>
      <c r="P64" s="16">
        <v>1.96572090083992</v>
      </c>
      <c r="Q64" s="16">
        <v>-0.545783157442493</v>
      </c>
      <c r="R64" s="16">
        <v>1.00929127164696</v>
      </c>
      <c r="S64" s="16">
        <v>-0.927367938667209</v>
      </c>
      <c r="T64" s="16">
        <v>36.1066424220985</v>
      </c>
      <c r="U64" s="16">
        <v>-0.16809034002433</v>
      </c>
      <c r="V64" s="16">
        <v>0</v>
      </c>
      <c r="W64" s="16">
        <v>-0.307051897076419</v>
      </c>
      <c r="X64" s="16">
        <v>1.75351634635538</v>
      </c>
      <c r="Y64" s="16">
        <v>-0.233744418322191</v>
      </c>
      <c r="Z64" s="16">
        <v>4.51518852972317</v>
      </c>
      <c r="AA64" s="16">
        <v>-1.3115980581906</v>
      </c>
      <c r="AB64" s="16">
        <v>1.74542749223069</v>
      </c>
      <c r="AC64" s="16">
        <v>-0.316577792489925</v>
      </c>
      <c r="AD64" s="16">
        <v>34.0807622892509</v>
      </c>
      <c r="AE64" s="16">
        <v>-0.645090668858806</v>
      </c>
      <c r="AF64" s="16">
        <v>482.476342945238</v>
      </c>
      <c r="AG64" s="16">
        <v>-0.250196807532181</v>
      </c>
      <c r="AH64" s="20">
        <v>259.866802641822</v>
      </c>
      <c r="AI64" s="23">
        <v>0.0712823620732382</v>
      </c>
      <c r="AJ64" s="24">
        <v>65</v>
      </c>
      <c r="AK64" s="29">
        <v>2</v>
      </c>
      <c r="AL64" s="14">
        <v>1</v>
      </c>
      <c r="AM64" s="29">
        <v>2</v>
      </c>
      <c r="AN64" s="30">
        <v>6</v>
      </c>
      <c r="AO64" s="29">
        <v>3</v>
      </c>
      <c r="AP64" s="35">
        <v>25</v>
      </c>
      <c r="AQ64" s="35">
        <v>25</v>
      </c>
      <c r="AR64" s="35">
        <v>25</v>
      </c>
      <c r="AS64" s="35">
        <v>0</v>
      </c>
      <c r="AT64" s="35">
        <v>0</v>
      </c>
      <c r="AU64" s="35">
        <v>13</v>
      </c>
      <c r="AV64" s="35">
        <v>100</v>
      </c>
      <c r="AW64" s="35">
        <v>0</v>
      </c>
      <c r="AX64" s="35">
        <v>83.3333333333333</v>
      </c>
      <c r="AY64" s="35">
        <v>100</v>
      </c>
      <c r="AZ64" s="35">
        <v>10.6481481481481</v>
      </c>
      <c r="BA64" s="29" t="s">
        <v>74</v>
      </c>
      <c r="BB64" s="29">
        <v>0</v>
      </c>
      <c r="BC64" s="29">
        <v>0</v>
      </c>
      <c r="BD64" s="36">
        <v>0</v>
      </c>
      <c r="BE64" s="38">
        <v>834</v>
      </c>
      <c r="BF64" s="36">
        <f t="shared" si="0"/>
        <v>0</v>
      </c>
    </row>
    <row r="65" spans="1:58">
      <c r="A65" s="14" t="s">
        <v>141</v>
      </c>
      <c r="B65" s="14" t="s">
        <v>141</v>
      </c>
      <c r="C65" s="15" t="s">
        <v>73</v>
      </c>
      <c r="D65" s="16">
        <v>23.8759565226081</v>
      </c>
      <c r="E65" s="16">
        <v>-0.281790567033683</v>
      </c>
      <c r="F65" s="16">
        <v>21.8421511597464</v>
      </c>
      <c r="G65" s="16">
        <v>0.0413823719931197</v>
      </c>
      <c r="H65" s="16">
        <v>104.031052734576</v>
      </c>
      <c r="I65" s="16">
        <v>1.89293832034765</v>
      </c>
      <c r="J65" s="16">
        <v>7.37744685730779</v>
      </c>
      <c r="K65" s="16">
        <v>-0.207153365794784</v>
      </c>
      <c r="L65" s="16">
        <v>1.82561287028406</v>
      </c>
      <c r="M65" s="16">
        <v>-0.277476240565752</v>
      </c>
      <c r="N65" s="16">
        <v>3.97718095639277</v>
      </c>
      <c r="O65" s="16">
        <v>0.928170161048306</v>
      </c>
      <c r="P65" s="16">
        <v>38.0066654978495</v>
      </c>
      <c r="Q65" s="16">
        <v>2.08524523060717</v>
      </c>
      <c r="R65" s="16">
        <v>5.96942820984907</v>
      </c>
      <c r="S65" s="16">
        <v>0.254512847960364</v>
      </c>
      <c r="T65" s="16">
        <v>103.300318970831</v>
      </c>
      <c r="U65" s="16">
        <v>0.489601341716787</v>
      </c>
      <c r="V65" s="16">
        <v>17.139067530947</v>
      </c>
      <c r="W65" s="16">
        <v>-0.0381958041689277</v>
      </c>
      <c r="X65" s="16">
        <v>2.76614091669523</v>
      </c>
      <c r="Y65" s="16">
        <v>-0.20823925609211</v>
      </c>
      <c r="Z65" s="16">
        <v>20.9815339276855</v>
      </c>
      <c r="AA65" s="16">
        <v>0.21144970103691</v>
      </c>
      <c r="AB65" s="16">
        <v>24.1866375808397</v>
      </c>
      <c r="AC65" s="16">
        <v>0.971186862993585</v>
      </c>
      <c r="AD65" s="16">
        <v>74.4661119350219</v>
      </c>
      <c r="AE65" s="16">
        <v>0.840513837745139</v>
      </c>
      <c r="AF65" s="16">
        <v>1008.73718707987</v>
      </c>
      <c r="AG65" s="16">
        <v>1.33033546248667</v>
      </c>
      <c r="AH65" s="20">
        <v>249.245060717162</v>
      </c>
      <c r="AI65" s="23">
        <v>0.0268166969632773</v>
      </c>
      <c r="AJ65" s="24">
        <v>74</v>
      </c>
      <c r="AK65" s="29">
        <v>2</v>
      </c>
      <c r="AL65" s="14">
        <v>2</v>
      </c>
      <c r="AM65" s="29">
        <v>1</v>
      </c>
      <c r="AN65" s="30">
        <v>0</v>
      </c>
      <c r="AO65" s="29">
        <v>1</v>
      </c>
      <c r="AP65" s="35">
        <v>93.75</v>
      </c>
      <c r="AQ65" s="35">
        <v>90</v>
      </c>
      <c r="AR65" s="35">
        <v>100</v>
      </c>
      <c r="AS65" s="35">
        <v>23</v>
      </c>
      <c r="AT65" s="35">
        <v>37</v>
      </c>
      <c r="AU65" s="35">
        <v>37</v>
      </c>
      <c r="AV65" s="35">
        <v>29</v>
      </c>
      <c r="AW65" s="35">
        <v>60.4166666666667</v>
      </c>
      <c r="AX65" s="35">
        <v>16.6666666666667</v>
      </c>
      <c r="AY65" s="35">
        <v>35.5128205128205</v>
      </c>
      <c r="AZ65" s="35">
        <v>64.0123456790123</v>
      </c>
      <c r="BA65" s="29">
        <v>5</v>
      </c>
      <c r="BB65" s="29">
        <v>1</v>
      </c>
      <c r="BC65" s="29">
        <v>0</v>
      </c>
      <c r="BD65" s="36">
        <v>1</v>
      </c>
      <c r="BE65" s="38">
        <v>263</v>
      </c>
      <c r="BF65" s="36">
        <f t="shared" si="0"/>
        <v>1</v>
      </c>
    </row>
    <row r="66" spans="1:58">
      <c r="A66" s="14" t="s">
        <v>142</v>
      </c>
      <c r="B66" s="14" t="s">
        <v>142</v>
      </c>
      <c r="C66" s="15" t="s">
        <v>73</v>
      </c>
      <c r="D66" s="16">
        <v>34.1565230426458</v>
      </c>
      <c r="E66" s="16">
        <v>-0.0341028481114581</v>
      </c>
      <c r="F66" s="16">
        <v>22.9812639885931</v>
      </c>
      <c r="G66" s="16">
        <v>0.0680326071646847</v>
      </c>
      <c r="H66" s="16">
        <v>46.6435431353591</v>
      </c>
      <c r="I66" s="16">
        <v>-0.11114806230546</v>
      </c>
      <c r="J66" s="16">
        <v>16.3450594519625</v>
      </c>
      <c r="K66" s="16">
        <v>0.0540021546278106</v>
      </c>
      <c r="L66" s="16">
        <v>9.09789040011736</v>
      </c>
      <c r="M66" s="16">
        <v>0.309311570553015</v>
      </c>
      <c r="N66" s="16">
        <v>1.00678756455961</v>
      </c>
      <c r="O66" s="16">
        <v>-0.50408980308</v>
      </c>
      <c r="P66" s="16">
        <v>15.6964740161316</v>
      </c>
      <c r="Q66" s="16">
        <v>0.456576842817634</v>
      </c>
      <c r="R66" s="16">
        <v>6.07477489063677</v>
      </c>
      <c r="S66" s="16">
        <v>0.279614416628567</v>
      </c>
      <c r="T66" s="16">
        <v>137.79466734472</v>
      </c>
      <c r="U66" s="16">
        <v>0.827232011116659</v>
      </c>
      <c r="V66" s="16">
        <v>14.8031588703807</v>
      </c>
      <c r="W66" s="16">
        <v>-0.0748385955421831</v>
      </c>
      <c r="X66" s="16">
        <v>12.1188570065656</v>
      </c>
      <c r="Y66" s="16">
        <v>0.0273293328509487</v>
      </c>
      <c r="Z66" s="16">
        <v>13.9105365561672</v>
      </c>
      <c r="AA66" s="16">
        <v>-0.442579255717955</v>
      </c>
      <c r="AB66" s="16">
        <v>2.19810591248266</v>
      </c>
      <c r="AC66" s="16">
        <v>-0.290601329206579</v>
      </c>
      <c r="AD66" s="16">
        <v>43.7020500894178</v>
      </c>
      <c r="AE66" s="16">
        <v>-0.291164588222328</v>
      </c>
      <c r="AF66" s="16">
        <v>509.431448060285</v>
      </c>
      <c r="AG66" s="16">
        <v>-0.16924187054435</v>
      </c>
      <c r="AH66" s="20">
        <v>100.544450945807</v>
      </c>
      <c r="AI66" s="23">
        <v>-0.595686802240476</v>
      </c>
      <c r="AJ66" s="24">
        <v>65</v>
      </c>
      <c r="AK66" s="29">
        <v>2</v>
      </c>
      <c r="AL66" s="14">
        <v>2</v>
      </c>
      <c r="AM66" s="29">
        <v>1</v>
      </c>
      <c r="AN66" s="30">
        <v>0</v>
      </c>
      <c r="AO66" s="29">
        <v>1</v>
      </c>
      <c r="AP66" s="35">
        <v>31.25</v>
      </c>
      <c r="AQ66" s="35">
        <v>26.6666666666667</v>
      </c>
      <c r="AR66" s="35">
        <v>30</v>
      </c>
      <c r="AS66" s="35">
        <v>10</v>
      </c>
      <c r="AT66" s="35">
        <v>23</v>
      </c>
      <c r="AU66" s="35">
        <v>23</v>
      </c>
      <c r="AV66" s="35">
        <v>49.3333333333333</v>
      </c>
      <c r="AW66" s="35">
        <v>31.9444444444444</v>
      </c>
      <c r="AX66" s="35">
        <v>25</v>
      </c>
      <c r="AY66" s="35">
        <v>60.8547008547009</v>
      </c>
      <c r="AZ66" s="35">
        <v>39.5424836601307</v>
      </c>
      <c r="BA66" s="29">
        <v>4</v>
      </c>
      <c r="BB66" s="29">
        <v>0</v>
      </c>
      <c r="BC66" s="29">
        <v>0</v>
      </c>
      <c r="BD66" s="36">
        <v>1</v>
      </c>
      <c r="BE66" s="38">
        <v>297</v>
      </c>
      <c r="BF66" s="36">
        <f t="shared" si="0"/>
        <v>1</v>
      </c>
    </row>
    <row r="67" spans="1:58">
      <c r="A67" s="14" t="s">
        <v>143</v>
      </c>
      <c r="B67" s="14" t="s">
        <v>143</v>
      </c>
      <c r="C67" s="15" t="s">
        <v>73</v>
      </c>
      <c r="D67" s="16">
        <v>35.1210866458064</v>
      </c>
      <c r="E67" s="16">
        <v>-0.010863802076729</v>
      </c>
      <c r="F67" s="16">
        <v>13.6268823106814</v>
      </c>
      <c r="G67" s="16">
        <v>-0.150818822902456</v>
      </c>
      <c r="H67" s="16">
        <v>52.5308979712512</v>
      </c>
      <c r="I67" s="16">
        <v>0.0944501199271989</v>
      </c>
      <c r="J67" s="16">
        <v>15.334628093188</v>
      </c>
      <c r="K67" s="16">
        <v>0.0245762929988912</v>
      </c>
      <c r="L67" s="16">
        <v>3.53729982013878</v>
      </c>
      <c r="M67" s="16">
        <v>-0.139363106887143</v>
      </c>
      <c r="N67" s="16">
        <v>6.41115325004393</v>
      </c>
      <c r="O67" s="16">
        <v>2.10177938047991</v>
      </c>
      <c r="P67" s="16">
        <v>45.1949660700014</v>
      </c>
      <c r="Q67" s="16">
        <v>2.60999903710797</v>
      </c>
      <c r="R67" s="16">
        <v>34.5199599677207</v>
      </c>
      <c r="S67" s="16">
        <v>7.05741473414492</v>
      </c>
      <c r="T67" s="16">
        <v>436.502758110595</v>
      </c>
      <c r="U67" s="16">
        <v>3.75098669542843</v>
      </c>
      <c r="V67" s="16">
        <v>79.5128346132841</v>
      </c>
      <c r="W67" s="16">
        <v>0.940245250888428</v>
      </c>
      <c r="X67" s="16">
        <v>3.7632442767878</v>
      </c>
      <c r="Y67" s="16">
        <v>-0.18312502945352</v>
      </c>
      <c r="Z67" s="16">
        <v>66.5973700952189</v>
      </c>
      <c r="AA67" s="16">
        <v>4.43066746801321</v>
      </c>
      <c r="AB67" s="16">
        <v>8.99684826575226</v>
      </c>
      <c r="AC67" s="16">
        <v>0.0995371735617471</v>
      </c>
      <c r="AD67" s="16">
        <v>65.7128715022263</v>
      </c>
      <c r="AE67" s="16">
        <v>0.518519511871803</v>
      </c>
      <c r="AF67" s="16">
        <v>840.153321737504</v>
      </c>
      <c r="AG67" s="16">
        <v>0.824023350636</v>
      </c>
      <c r="AH67" s="20">
        <v>0</v>
      </c>
      <c r="AI67" s="23">
        <v>-1.01659477723482</v>
      </c>
      <c r="AJ67" s="24">
        <v>61</v>
      </c>
      <c r="AK67" s="29">
        <v>1</v>
      </c>
      <c r="AL67" s="14">
        <v>2</v>
      </c>
      <c r="AM67" s="29">
        <v>2</v>
      </c>
      <c r="AN67" s="30">
        <v>30</v>
      </c>
      <c r="AO67" s="29">
        <v>3</v>
      </c>
      <c r="AP67" s="35">
        <v>28.75</v>
      </c>
      <c r="AQ67" s="35">
        <v>16.6666666666667</v>
      </c>
      <c r="AR67" s="35">
        <v>40</v>
      </c>
      <c r="AS67" s="35">
        <v>12</v>
      </c>
      <c r="AT67" s="35">
        <v>35</v>
      </c>
      <c r="AU67" s="35">
        <v>17</v>
      </c>
      <c r="AV67" s="35">
        <v>65.6666666666667</v>
      </c>
      <c r="AW67" s="35">
        <v>43.0555555555556</v>
      </c>
      <c r="AX67" s="35">
        <v>33.3333333333333</v>
      </c>
      <c r="AY67" s="35">
        <v>60.2991452991453</v>
      </c>
      <c r="AZ67" s="35">
        <v>31.7901234567901</v>
      </c>
      <c r="BA67" s="29">
        <v>5</v>
      </c>
      <c r="BB67" s="29">
        <v>1</v>
      </c>
      <c r="BC67" s="29">
        <v>0</v>
      </c>
      <c r="BD67" s="36">
        <v>1</v>
      </c>
      <c r="BE67" s="38">
        <v>131</v>
      </c>
      <c r="BF67" s="36">
        <f t="shared" ref="BF67:BF130" si="1">IF(BE67&gt;730,0,IF(BD67=1,1,0))</f>
        <v>1</v>
      </c>
    </row>
    <row r="68" spans="1:58">
      <c r="A68" s="14" t="s">
        <v>144</v>
      </c>
      <c r="B68" s="14" t="s">
        <v>144</v>
      </c>
      <c r="C68" s="15" t="s">
        <v>73</v>
      </c>
      <c r="D68" s="16">
        <v>0</v>
      </c>
      <c r="E68" s="16">
        <v>-0.857029411765105</v>
      </c>
      <c r="F68" s="16">
        <v>1.77676938586945</v>
      </c>
      <c r="G68" s="16">
        <v>-0.428059398426114</v>
      </c>
      <c r="H68" s="16">
        <v>41.5223818014802</v>
      </c>
      <c r="I68" s="16">
        <v>-0.289989238099163</v>
      </c>
      <c r="J68" s="16">
        <v>0</v>
      </c>
      <c r="K68" s="16">
        <v>-0.421999954345974</v>
      </c>
      <c r="L68" s="16">
        <v>0</v>
      </c>
      <c r="M68" s="16">
        <v>-0.424781864658015</v>
      </c>
      <c r="N68" s="16">
        <v>1.00678756455961</v>
      </c>
      <c r="O68" s="16">
        <v>-0.50408980308</v>
      </c>
      <c r="P68" s="16">
        <v>3.9835294656878</v>
      </c>
      <c r="Q68" s="16">
        <v>-0.398480924520301</v>
      </c>
      <c r="R68" s="16">
        <v>1.73219460483698</v>
      </c>
      <c r="S68" s="16">
        <v>-0.755117541000567</v>
      </c>
      <c r="T68" s="16">
        <v>12.8806601210733</v>
      </c>
      <c r="U68" s="16">
        <v>-0.395426246381113</v>
      </c>
      <c r="V68" s="16">
        <v>6.56985419373861</v>
      </c>
      <c r="W68" s="16">
        <v>-0.203992303763593</v>
      </c>
      <c r="X68" s="16">
        <v>0.581833439336086</v>
      </c>
      <c r="Y68" s="16">
        <v>-0.263255812279095</v>
      </c>
      <c r="Z68" s="16">
        <v>11.1233230382642</v>
      </c>
      <c r="AA68" s="16">
        <v>-0.700381409160947</v>
      </c>
      <c r="AB68" s="16">
        <v>2.65533302981273</v>
      </c>
      <c r="AC68" s="16">
        <v>-0.264363843843651</v>
      </c>
      <c r="AD68" s="16">
        <v>29.8312503149704</v>
      </c>
      <c r="AE68" s="16">
        <v>-0.801412062513488</v>
      </c>
      <c r="AF68" s="16">
        <v>938.566066776954</v>
      </c>
      <c r="AG68" s="16">
        <v>1.11958879322894</v>
      </c>
      <c r="AH68" s="20">
        <v>98.3102904403308</v>
      </c>
      <c r="AI68" s="23">
        <v>-0.605039640366562</v>
      </c>
      <c r="AJ68" s="24">
        <v>78</v>
      </c>
      <c r="AK68" s="29">
        <v>1</v>
      </c>
      <c r="AL68" s="14">
        <v>4</v>
      </c>
      <c r="AM68" s="29">
        <v>1</v>
      </c>
      <c r="AN68" s="30">
        <v>0</v>
      </c>
      <c r="AO68" s="29">
        <v>2</v>
      </c>
      <c r="AP68" s="35">
        <v>25</v>
      </c>
      <c r="AQ68" s="35">
        <v>46.6666666666667</v>
      </c>
      <c r="AR68" s="35">
        <v>20</v>
      </c>
      <c r="AS68" s="35">
        <v>0</v>
      </c>
      <c r="AT68" s="35">
        <v>0</v>
      </c>
      <c r="AU68" s="35">
        <v>20</v>
      </c>
      <c r="AV68" s="35">
        <v>90</v>
      </c>
      <c r="AW68" s="35">
        <v>4.16666666666667</v>
      </c>
      <c r="AX68" s="35">
        <v>33.3333333333333</v>
      </c>
      <c r="AY68" s="35">
        <v>93.5897435897436</v>
      </c>
      <c r="AZ68" s="35">
        <v>40.1234567901235</v>
      </c>
      <c r="BA68" s="29" t="s">
        <v>74</v>
      </c>
      <c r="BB68" s="29">
        <v>0</v>
      </c>
      <c r="BC68" s="29">
        <v>0</v>
      </c>
      <c r="BD68" s="36">
        <v>0</v>
      </c>
      <c r="BE68" s="38">
        <v>679</v>
      </c>
      <c r="BF68" s="36">
        <f t="shared" si="1"/>
        <v>0</v>
      </c>
    </row>
    <row r="69" spans="1:58">
      <c r="A69" s="14" t="s">
        <v>145</v>
      </c>
      <c r="B69" s="14" t="s">
        <v>145</v>
      </c>
      <c r="C69" s="15" t="s">
        <v>73</v>
      </c>
      <c r="D69" s="16">
        <v>16.56190680998</v>
      </c>
      <c r="E69" s="16">
        <v>-0.458006565040568</v>
      </c>
      <c r="F69" s="16">
        <v>17.2064115014016</v>
      </c>
      <c r="G69" s="16">
        <v>-0.0670735675419674</v>
      </c>
      <c r="H69" s="16">
        <v>71.8845372370821</v>
      </c>
      <c r="I69" s="16">
        <v>0.770317833621495</v>
      </c>
      <c r="J69" s="16">
        <v>2.58723836248506</v>
      </c>
      <c r="K69" s="16">
        <v>-0.346654194938969</v>
      </c>
      <c r="L69" s="16">
        <v>0.917137173459307</v>
      </c>
      <c r="M69" s="16">
        <v>-0.350779612639702</v>
      </c>
      <c r="N69" s="16">
        <v>3.91877506495844</v>
      </c>
      <c r="O69" s="16">
        <v>0.900008093289668</v>
      </c>
      <c r="P69" s="16">
        <v>19.0861143430227</v>
      </c>
      <c r="Q69" s="16">
        <v>0.704024295292794</v>
      </c>
      <c r="R69" s="16">
        <v>3.46605572184983</v>
      </c>
      <c r="S69" s="16">
        <v>-0.341980329990243</v>
      </c>
      <c r="T69" s="16">
        <v>41.1126533824919</v>
      </c>
      <c r="U69" s="16">
        <v>-0.119091506555711</v>
      </c>
      <c r="V69" s="16">
        <v>13.5483147248901</v>
      </c>
      <c r="W69" s="16">
        <v>-0.094523009151924</v>
      </c>
      <c r="X69" s="16">
        <v>1.8672333851677</v>
      </c>
      <c r="Y69" s="16">
        <v>-0.230880206245785</v>
      </c>
      <c r="Z69" s="16">
        <v>9.39986539892037</v>
      </c>
      <c r="AA69" s="16">
        <v>-0.859791905678953</v>
      </c>
      <c r="AB69" s="16">
        <v>6.89932402548341</v>
      </c>
      <c r="AC69" s="16">
        <v>-0.0208269944119395</v>
      </c>
      <c r="AD69" s="16">
        <v>50.1594065062266</v>
      </c>
      <c r="AE69" s="16">
        <v>-0.0536260283806502</v>
      </c>
      <c r="AF69" s="16">
        <v>699.64333115109</v>
      </c>
      <c r="AG69" s="16">
        <v>0.402026204435516</v>
      </c>
      <c r="AH69" s="20">
        <v>162.196654847242</v>
      </c>
      <c r="AI69" s="23">
        <v>-0.337592953659233</v>
      </c>
      <c r="AJ69" s="24">
        <v>68</v>
      </c>
      <c r="AK69" s="29">
        <v>2</v>
      </c>
      <c r="AL69" s="14">
        <v>1</v>
      </c>
      <c r="AM69" s="29">
        <v>1</v>
      </c>
      <c r="AN69" s="30">
        <v>0</v>
      </c>
      <c r="AO69" s="29">
        <v>1</v>
      </c>
      <c r="AP69" s="35">
        <v>46.25</v>
      </c>
      <c r="AQ69" s="35">
        <v>46.6666666666667</v>
      </c>
      <c r="AR69" s="35">
        <v>50</v>
      </c>
      <c r="AS69" s="35">
        <v>28</v>
      </c>
      <c r="AT69" s="35">
        <v>40</v>
      </c>
      <c r="AU69" s="35">
        <v>26</v>
      </c>
      <c r="AV69" s="35">
        <v>26</v>
      </c>
      <c r="AW69" s="35">
        <v>58.3333333333333</v>
      </c>
      <c r="AX69" s="35">
        <v>16.6666666666667</v>
      </c>
      <c r="AY69" s="35">
        <v>35.6410256410256</v>
      </c>
      <c r="AZ69" s="35">
        <v>58.4259259259259</v>
      </c>
      <c r="BA69" s="29">
        <v>5</v>
      </c>
      <c r="BB69" s="29">
        <v>1</v>
      </c>
      <c r="BC69" s="29">
        <v>0</v>
      </c>
      <c r="BD69" s="36">
        <v>1</v>
      </c>
      <c r="BE69" s="38">
        <v>56</v>
      </c>
      <c r="BF69" s="36">
        <f t="shared" si="1"/>
        <v>1</v>
      </c>
    </row>
    <row r="70" spans="1:58">
      <c r="A70" s="14" t="s">
        <v>146</v>
      </c>
      <c r="B70" s="14" t="s">
        <v>146</v>
      </c>
      <c r="C70" s="15" t="s">
        <v>73</v>
      </c>
      <c r="D70" s="16">
        <v>66.3901059823981</v>
      </c>
      <c r="E70" s="16">
        <v>0.742494688169871</v>
      </c>
      <c r="F70" s="16">
        <v>22.9812639885931</v>
      </c>
      <c r="G70" s="16">
        <v>0.0680326071646847</v>
      </c>
      <c r="H70" s="16">
        <v>42.3981672502578</v>
      </c>
      <c r="I70" s="16">
        <v>-0.259405062129887</v>
      </c>
      <c r="J70" s="16">
        <v>5.43646985560932</v>
      </c>
      <c r="K70" s="16">
        <v>-0.263678650942472</v>
      </c>
      <c r="L70" s="16">
        <v>4.36318530808557</v>
      </c>
      <c r="M70" s="16">
        <v>-0.0727237995011169</v>
      </c>
      <c r="N70" s="16">
        <v>1.67282326798013</v>
      </c>
      <c r="O70" s="16">
        <v>-0.182941676602204</v>
      </c>
      <c r="P70" s="16">
        <v>1.73959368813704</v>
      </c>
      <c r="Q70" s="16">
        <v>-0.562290691376029</v>
      </c>
      <c r="R70" s="16">
        <v>6.41764643107627</v>
      </c>
      <c r="S70" s="16">
        <v>0.361312420327982</v>
      </c>
      <c r="T70" s="16">
        <v>53.5037984058881</v>
      </c>
      <c r="U70" s="16">
        <v>0.00219301644884658</v>
      </c>
      <c r="V70" s="16">
        <v>19.29666635257</v>
      </c>
      <c r="W70" s="16">
        <v>-0.00435011284435912</v>
      </c>
      <c r="X70" s="16">
        <v>2.20630875527128</v>
      </c>
      <c r="Y70" s="16">
        <v>-0.222339852223155</v>
      </c>
      <c r="Z70" s="16">
        <v>7.63957817123309</v>
      </c>
      <c r="AA70" s="16">
        <v>-1.02260893963098</v>
      </c>
      <c r="AB70" s="16">
        <v>55.4022799195106</v>
      </c>
      <c r="AC70" s="16">
        <v>2.76246285672261</v>
      </c>
      <c r="AD70" s="16">
        <v>31.2458579472854</v>
      </c>
      <c r="AE70" s="16">
        <v>-0.749374690246647</v>
      </c>
      <c r="AF70" s="16">
        <v>330.353199910884</v>
      </c>
      <c r="AG70" s="16">
        <v>-0.707072023049792</v>
      </c>
      <c r="AH70" s="20">
        <v>62.1297848103585</v>
      </c>
      <c r="AI70" s="23">
        <v>-0.756501637679484</v>
      </c>
      <c r="AJ70" s="24">
        <v>73</v>
      </c>
      <c r="AK70" s="29">
        <v>2</v>
      </c>
      <c r="AL70" s="14">
        <v>1</v>
      </c>
      <c r="AM70" s="29">
        <v>1</v>
      </c>
      <c r="AN70" s="30">
        <v>0</v>
      </c>
      <c r="AO70" s="29">
        <v>3</v>
      </c>
      <c r="AP70" s="35">
        <v>35</v>
      </c>
      <c r="AQ70" s="35">
        <v>26.6666666666667</v>
      </c>
      <c r="AR70" s="35">
        <v>40</v>
      </c>
      <c r="AS70" s="35">
        <v>0</v>
      </c>
      <c r="AT70" s="35">
        <v>0</v>
      </c>
      <c r="AU70" s="35">
        <v>12</v>
      </c>
      <c r="AV70" s="35">
        <v>93.3333333333333</v>
      </c>
      <c r="AW70" s="35">
        <v>13.8888888888889</v>
      </c>
      <c r="AX70" s="35">
        <v>83.3333333333333</v>
      </c>
      <c r="AY70" s="35">
        <v>88.8888888888889</v>
      </c>
      <c r="AZ70" s="35">
        <v>10.6481481481481</v>
      </c>
      <c r="BA70" s="29" t="s">
        <v>74</v>
      </c>
      <c r="BB70" s="29">
        <v>0</v>
      </c>
      <c r="BC70" s="29">
        <v>0</v>
      </c>
      <c r="BD70" s="36">
        <v>0</v>
      </c>
      <c r="BE70" s="38">
        <v>695</v>
      </c>
      <c r="BF70" s="36">
        <f t="shared" si="1"/>
        <v>0</v>
      </c>
    </row>
    <row r="71" spans="1:58">
      <c r="A71" s="14" t="s">
        <v>147</v>
      </c>
      <c r="B71" s="14" t="s">
        <v>147</v>
      </c>
      <c r="C71" s="15" t="s">
        <v>73</v>
      </c>
      <c r="D71" s="16">
        <v>14.4423728509939</v>
      </c>
      <c r="E71" s="16">
        <v>-0.509072090511</v>
      </c>
      <c r="F71" s="16">
        <v>18.3784217745506</v>
      </c>
      <c r="G71" s="16">
        <v>-0.0396536767182161</v>
      </c>
      <c r="H71" s="16">
        <v>71.2845318946534</v>
      </c>
      <c r="I71" s="16">
        <v>0.749364449432527</v>
      </c>
      <c r="J71" s="16">
        <v>2.58723836248506</v>
      </c>
      <c r="K71" s="16">
        <v>-0.346654194938969</v>
      </c>
      <c r="L71" s="16">
        <v>0.917137173459307</v>
      </c>
      <c r="M71" s="16">
        <v>-0.350779612639702</v>
      </c>
      <c r="N71" s="16">
        <v>3.91877506495844</v>
      </c>
      <c r="O71" s="16">
        <v>0.900008093289668</v>
      </c>
      <c r="P71" s="16">
        <v>5.65768129363876</v>
      </c>
      <c r="Q71" s="16">
        <v>-0.276266009387092</v>
      </c>
      <c r="R71" s="16">
        <v>3.44027282197901</v>
      </c>
      <c r="S71" s="16">
        <v>-0.34812377206866</v>
      </c>
      <c r="T71" s="16">
        <v>5.0275698108752</v>
      </c>
      <c r="U71" s="16">
        <v>-0.472292291495242</v>
      </c>
      <c r="V71" s="16">
        <v>14.8031588703807</v>
      </c>
      <c r="W71" s="16">
        <v>-0.0748385955421831</v>
      </c>
      <c r="X71" s="16">
        <v>1.63939150001131</v>
      </c>
      <c r="Y71" s="16">
        <v>-0.236618901922279</v>
      </c>
      <c r="Z71" s="16">
        <v>19.9742843425504</v>
      </c>
      <c r="AA71" s="16">
        <v>0.118284570186886</v>
      </c>
      <c r="AB71" s="16">
        <v>9.48449703376243</v>
      </c>
      <c r="AC71" s="16">
        <v>0.127520372562782</v>
      </c>
      <c r="AD71" s="16">
        <v>42.6290919429912</v>
      </c>
      <c r="AE71" s="16">
        <v>-0.330634135266244</v>
      </c>
      <c r="AF71" s="16">
        <v>408.814677578085</v>
      </c>
      <c r="AG71" s="16">
        <v>-0.471426717516384</v>
      </c>
      <c r="AH71" s="20">
        <v>157.84151108993</v>
      </c>
      <c r="AI71" s="23">
        <v>-0.355824837392802</v>
      </c>
      <c r="AJ71" s="24">
        <v>71</v>
      </c>
      <c r="AK71" s="29">
        <v>1</v>
      </c>
      <c r="AL71" s="14">
        <v>1</v>
      </c>
      <c r="AM71" s="29">
        <v>2</v>
      </c>
      <c r="AN71" s="30">
        <v>120</v>
      </c>
      <c r="AO71" s="29">
        <v>2</v>
      </c>
      <c r="AP71" s="35">
        <v>80</v>
      </c>
      <c r="AQ71" s="35">
        <v>90</v>
      </c>
      <c r="AR71" s="35">
        <v>90</v>
      </c>
      <c r="AS71" s="35">
        <v>5</v>
      </c>
      <c r="AT71" s="35">
        <v>17</v>
      </c>
      <c r="AU71" s="35">
        <v>26</v>
      </c>
      <c r="AV71" s="35">
        <v>71.6666666666667</v>
      </c>
      <c r="AW71" s="35">
        <v>53.4722222222222</v>
      </c>
      <c r="AX71" s="35">
        <v>41.6666666666667</v>
      </c>
      <c r="AY71" s="35">
        <v>56.1965811965812</v>
      </c>
      <c r="AZ71" s="35">
        <v>34.8039215686275</v>
      </c>
      <c r="BA71" s="29" t="s">
        <v>79</v>
      </c>
      <c r="BB71" s="29">
        <v>0</v>
      </c>
      <c r="BC71" s="29">
        <v>0</v>
      </c>
      <c r="BD71" s="36">
        <v>1</v>
      </c>
      <c r="BE71" s="38">
        <v>268</v>
      </c>
      <c r="BF71" s="36">
        <f t="shared" si="1"/>
        <v>1</v>
      </c>
    </row>
    <row r="72" spans="1:58">
      <c r="A72" s="14" t="s">
        <v>148</v>
      </c>
      <c r="B72" s="14" t="s">
        <v>148</v>
      </c>
      <c r="C72" s="15" t="s">
        <v>73</v>
      </c>
      <c r="D72" s="16">
        <v>18.4382044507689</v>
      </c>
      <c r="E72" s="16">
        <v>-0.412801285568824</v>
      </c>
      <c r="F72" s="16">
        <v>44.676783889494</v>
      </c>
      <c r="G72" s="16">
        <v>0.575612447270402</v>
      </c>
      <c r="H72" s="16">
        <v>108.322922287418</v>
      </c>
      <c r="I72" s="16">
        <v>2.04281897185254</v>
      </c>
      <c r="J72" s="16">
        <v>14.327144325835</v>
      </c>
      <c r="K72" s="16">
        <v>-0.00476372864044898</v>
      </c>
      <c r="L72" s="16">
        <v>7.35629263510121</v>
      </c>
      <c r="M72" s="16">
        <v>0.168784983635672</v>
      </c>
      <c r="N72" s="16">
        <v>10.9281816465453</v>
      </c>
      <c r="O72" s="16">
        <v>4.27979356100128</v>
      </c>
      <c r="P72" s="16">
        <v>7.44546904651357</v>
      </c>
      <c r="Q72" s="16">
        <v>-0.145755547405155</v>
      </c>
      <c r="R72" s="16">
        <v>8.89034524155051</v>
      </c>
      <c r="S72" s="16">
        <v>0.950496802055081</v>
      </c>
      <c r="T72" s="16">
        <v>167.849097129282</v>
      </c>
      <c r="U72" s="16">
        <v>1.12140475897104</v>
      </c>
      <c r="V72" s="16">
        <v>29.6939855556341</v>
      </c>
      <c r="W72" s="16">
        <v>0.158749928193485</v>
      </c>
      <c r="X72" s="16">
        <v>5.30083767140229</v>
      </c>
      <c r="Y72" s="16">
        <v>-0.144397380409431</v>
      </c>
      <c r="Z72" s="16">
        <v>15.7036877435508</v>
      </c>
      <c r="AA72" s="16">
        <v>-0.276722483501899</v>
      </c>
      <c r="AB72" s="16">
        <v>12.7642277374573</v>
      </c>
      <c r="AC72" s="16">
        <v>0.315724184346806</v>
      </c>
      <c r="AD72" s="16">
        <v>138.468351213733</v>
      </c>
      <c r="AE72" s="16">
        <v>3.19488283390793</v>
      </c>
      <c r="AF72" s="16">
        <v>1019.78935092641</v>
      </c>
      <c r="AG72" s="16">
        <v>1.36352870079745</v>
      </c>
      <c r="AH72" s="20">
        <v>98.3102904403308</v>
      </c>
      <c r="AI72" s="23">
        <v>-0.605039640366562</v>
      </c>
      <c r="AJ72" s="24">
        <v>24</v>
      </c>
      <c r="AK72" s="29">
        <v>1</v>
      </c>
      <c r="AL72" s="14">
        <v>2</v>
      </c>
      <c r="AM72" s="29">
        <v>2</v>
      </c>
      <c r="AN72" s="30">
        <v>5</v>
      </c>
      <c r="AO72" s="29">
        <v>3</v>
      </c>
      <c r="AP72" s="35">
        <v>15</v>
      </c>
      <c r="AQ72" s="35">
        <v>3.33333333333333</v>
      </c>
      <c r="AR72" s="35">
        <v>20</v>
      </c>
      <c r="AS72" s="35">
        <v>0</v>
      </c>
      <c r="AT72" s="35">
        <v>9</v>
      </c>
      <c r="AU72" s="35">
        <v>21</v>
      </c>
      <c r="AV72" s="35">
        <v>95</v>
      </c>
      <c r="AW72" s="35">
        <v>18.0555555555556</v>
      </c>
      <c r="AX72" s="35">
        <v>91.6666666666667</v>
      </c>
      <c r="AY72" s="35">
        <v>86.965811965812</v>
      </c>
      <c r="AZ72" s="35">
        <v>23.1481481481481</v>
      </c>
      <c r="BA72" s="29">
        <v>4</v>
      </c>
      <c r="BB72" s="29">
        <v>0</v>
      </c>
      <c r="BC72" s="29">
        <v>0</v>
      </c>
      <c r="BD72" s="37">
        <v>0</v>
      </c>
      <c r="BE72" s="38">
        <v>526</v>
      </c>
      <c r="BF72" s="36">
        <f t="shared" si="1"/>
        <v>0</v>
      </c>
    </row>
    <row r="73" spans="1:58">
      <c r="A73" s="14" t="s">
        <v>149</v>
      </c>
      <c r="B73" s="14" t="s">
        <v>149</v>
      </c>
      <c r="C73" s="15" t="s">
        <v>73</v>
      </c>
      <c r="D73" s="16">
        <v>6.56370467094318</v>
      </c>
      <c r="E73" s="16">
        <v>-0.698891333045771</v>
      </c>
      <c r="F73" s="16">
        <v>8.65583515643869</v>
      </c>
      <c r="G73" s="16">
        <v>-0.267119484570569</v>
      </c>
      <c r="H73" s="16">
        <v>50.4663321177205</v>
      </c>
      <c r="I73" s="16">
        <v>0.0223513593772563</v>
      </c>
      <c r="J73" s="16">
        <v>1.66330076685454</v>
      </c>
      <c r="K73" s="16">
        <v>-0.373561178383895</v>
      </c>
      <c r="L73" s="16">
        <v>0</v>
      </c>
      <c r="M73" s="16">
        <v>-0.424781864658015</v>
      </c>
      <c r="N73" s="16">
        <v>2.03197941353351</v>
      </c>
      <c r="O73" s="16">
        <v>-0.00976428886593431</v>
      </c>
      <c r="P73" s="16">
        <v>6.60689483653717</v>
      </c>
      <c r="Q73" s="16">
        <v>-0.206972382219115</v>
      </c>
      <c r="R73" s="16">
        <v>2.54275914817277</v>
      </c>
      <c r="S73" s="16">
        <v>-0.561979595007212</v>
      </c>
      <c r="T73" s="16">
        <v>20.8202619063312</v>
      </c>
      <c r="U73" s="16">
        <v>-0.317713426980408</v>
      </c>
      <c r="V73" s="16">
        <v>8.41429773365934</v>
      </c>
      <c r="W73" s="16">
        <v>-0.175058997862548</v>
      </c>
      <c r="X73" s="16">
        <v>1.06069087326301</v>
      </c>
      <c r="Y73" s="16">
        <v>-0.251194741577159</v>
      </c>
      <c r="Z73" s="16">
        <v>13.3921324752233</v>
      </c>
      <c r="AA73" s="16">
        <v>-0.490528825265652</v>
      </c>
      <c r="AB73" s="16">
        <v>4.99020605238949</v>
      </c>
      <c r="AC73" s="16">
        <v>-0.130379671793922</v>
      </c>
      <c r="AD73" s="16">
        <v>33.3713335905428</v>
      </c>
      <c r="AE73" s="16">
        <v>-0.671187520344783</v>
      </c>
      <c r="AF73" s="16">
        <v>677.00721955243</v>
      </c>
      <c r="AG73" s="16">
        <v>0.334042607996261</v>
      </c>
      <c r="AH73" s="20">
        <v>80.3314621555249</v>
      </c>
      <c r="AI73" s="23">
        <v>-0.680304183908676</v>
      </c>
      <c r="AJ73" s="24">
        <v>42</v>
      </c>
      <c r="AK73" s="29">
        <v>2</v>
      </c>
      <c r="AL73" s="14">
        <v>1</v>
      </c>
      <c r="AM73" s="29">
        <v>1</v>
      </c>
      <c r="AN73" s="30">
        <v>0</v>
      </c>
      <c r="AO73" s="29">
        <v>3</v>
      </c>
      <c r="AP73" s="35">
        <v>70.625</v>
      </c>
      <c r="AQ73" s="35">
        <v>91.6666666666667</v>
      </c>
      <c r="AR73" s="35">
        <v>63.3333333333333</v>
      </c>
      <c r="AS73" s="35">
        <v>20</v>
      </c>
      <c r="AT73" s="35">
        <v>40</v>
      </c>
      <c r="AU73" s="35">
        <v>31</v>
      </c>
      <c r="AV73" s="35">
        <v>44.3333333333333</v>
      </c>
      <c r="AW73" s="35">
        <v>45.8333333333333</v>
      </c>
      <c r="AX73" s="35">
        <v>41.6666666666667</v>
      </c>
      <c r="AY73" s="35">
        <v>50.3846153846154</v>
      </c>
      <c r="AZ73" s="35">
        <v>56.0185185185185</v>
      </c>
      <c r="BA73" s="29">
        <v>4</v>
      </c>
      <c r="BB73" s="29">
        <v>0</v>
      </c>
      <c r="BC73" s="29">
        <v>0</v>
      </c>
      <c r="BD73" s="14">
        <v>0</v>
      </c>
      <c r="BE73" s="38">
        <v>648</v>
      </c>
      <c r="BF73" s="36">
        <f t="shared" si="1"/>
        <v>0</v>
      </c>
    </row>
    <row r="74" spans="1:58">
      <c r="A74" s="14" t="s">
        <v>150</v>
      </c>
      <c r="B74" s="14" t="s">
        <v>150</v>
      </c>
      <c r="C74" s="15" t="s">
        <v>73</v>
      </c>
      <c r="D74" s="16">
        <v>13.2544788514153</v>
      </c>
      <c r="E74" s="16">
        <v>-0.537691792985912</v>
      </c>
      <c r="F74" s="16">
        <v>11.1757793442953</v>
      </c>
      <c r="G74" s="16">
        <v>-0.20816386268227</v>
      </c>
      <c r="H74" s="16">
        <v>25.7906883073633</v>
      </c>
      <c r="I74" s="16">
        <v>-0.839371375916525</v>
      </c>
      <c r="J74" s="16">
        <v>0.762738344395479</v>
      </c>
      <c r="K74" s="16">
        <v>-0.399787428194298</v>
      </c>
      <c r="L74" s="16">
        <v>0</v>
      </c>
      <c r="M74" s="16">
        <v>-0.424781864658015</v>
      </c>
      <c r="N74" s="16">
        <v>1.12880765821745</v>
      </c>
      <c r="O74" s="16">
        <v>-0.445254331843829</v>
      </c>
      <c r="P74" s="16">
        <v>31.2496926210863</v>
      </c>
      <c r="Q74" s="16">
        <v>1.59197881778622</v>
      </c>
      <c r="R74" s="16">
        <v>3.56925813785991</v>
      </c>
      <c r="S74" s="16">
        <v>-0.317389687809289</v>
      </c>
      <c r="T74" s="16">
        <v>23.1007505603216</v>
      </c>
      <c r="U74" s="16">
        <v>-0.295392004860476</v>
      </c>
      <c r="V74" s="16">
        <v>9.24896096276942</v>
      </c>
      <c r="W74" s="16">
        <v>-0.161965852960301</v>
      </c>
      <c r="X74" s="16">
        <v>3.7632442767878</v>
      </c>
      <c r="Y74" s="16">
        <v>-0.18312502945352</v>
      </c>
      <c r="Z74" s="16">
        <v>16.0802100163287</v>
      </c>
      <c r="AA74" s="16">
        <v>-0.241896212705672</v>
      </c>
      <c r="AB74" s="16">
        <v>8.51047415131848</v>
      </c>
      <c r="AC74" s="16">
        <v>0.0716271191824676</v>
      </c>
      <c r="AD74" s="16">
        <v>24.1924328330061</v>
      </c>
      <c r="AE74" s="16">
        <v>-1.00884007134838</v>
      </c>
      <c r="AF74" s="16">
        <v>369.715481842045</v>
      </c>
      <c r="AG74" s="16">
        <v>-0.588854303629527</v>
      </c>
      <c r="AH74" s="20">
        <v>467.489209157143</v>
      </c>
      <c r="AI74" s="23">
        <v>0.94044944059176</v>
      </c>
      <c r="AJ74" s="24">
        <v>81</v>
      </c>
      <c r="AK74" s="29">
        <v>1</v>
      </c>
      <c r="AL74" s="14">
        <v>1</v>
      </c>
      <c r="AM74" s="29">
        <v>1</v>
      </c>
      <c r="AN74" s="30">
        <v>0</v>
      </c>
      <c r="AO74" s="29">
        <v>1</v>
      </c>
      <c r="AP74" s="35">
        <v>2.5</v>
      </c>
      <c r="AQ74" s="35">
        <v>3.33333333333333</v>
      </c>
      <c r="AR74" s="35">
        <v>3.33333333333333</v>
      </c>
      <c r="AS74" s="35">
        <v>0</v>
      </c>
      <c r="AT74" s="35">
        <v>0</v>
      </c>
      <c r="AU74" s="35">
        <v>4</v>
      </c>
      <c r="AV74" s="35">
        <v>96.6666666666667</v>
      </c>
      <c r="AW74" s="35">
        <v>1.38888888888889</v>
      </c>
      <c r="AX74" s="35">
        <v>58.3333333333333</v>
      </c>
      <c r="AY74" s="35">
        <v>97.8632478632479</v>
      </c>
      <c r="AZ74" s="35">
        <v>18.1372549019608</v>
      </c>
      <c r="BA74" s="29">
        <v>4</v>
      </c>
      <c r="BB74" s="29">
        <v>0</v>
      </c>
      <c r="BC74" s="29">
        <v>0</v>
      </c>
      <c r="BD74" s="36">
        <v>0</v>
      </c>
      <c r="BE74" s="38">
        <v>629</v>
      </c>
      <c r="BF74" s="36">
        <f t="shared" si="1"/>
        <v>0</v>
      </c>
    </row>
    <row r="75" spans="1:58">
      <c r="A75" s="14" t="s">
        <v>151</v>
      </c>
      <c r="B75" s="14" t="s">
        <v>151</v>
      </c>
      <c r="C75" s="15" t="s">
        <v>73</v>
      </c>
      <c r="D75" s="16">
        <v>15.5386447931743</v>
      </c>
      <c r="E75" s="16">
        <v>-0.482659820705843</v>
      </c>
      <c r="F75" s="16">
        <v>16.0244639797639</v>
      </c>
      <c r="G75" s="16">
        <v>-0.0947259463181635</v>
      </c>
      <c r="H75" s="16">
        <v>38.7551697361087</v>
      </c>
      <c r="I75" s="16">
        <v>-0.386625806872659</v>
      </c>
      <c r="J75" s="16">
        <v>24.5178342406066</v>
      </c>
      <c r="K75" s="16">
        <v>0.292010345848876</v>
      </c>
      <c r="L75" s="16">
        <v>0.917137173459307</v>
      </c>
      <c r="M75" s="16">
        <v>-0.350779612639702</v>
      </c>
      <c r="N75" s="16">
        <v>1.3715100559069</v>
      </c>
      <c r="O75" s="16">
        <v>-0.32822844282715</v>
      </c>
      <c r="P75" s="16">
        <v>3.20112336491899</v>
      </c>
      <c r="Q75" s="16">
        <v>-0.455597425908469</v>
      </c>
      <c r="R75" s="16">
        <v>3.41449709256503</v>
      </c>
      <c r="S75" s="16">
        <v>-0.354265505600464</v>
      </c>
      <c r="T75" s="16">
        <v>0.977793330378181</v>
      </c>
      <c r="U75" s="16">
        <v>-0.511931502220704</v>
      </c>
      <c r="V75" s="16">
        <v>10.7958842453292</v>
      </c>
      <c r="W75" s="16">
        <v>-0.137699669924049</v>
      </c>
      <c r="X75" s="16">
        <v>1.29406489205216</v>
      </c>
      <c r="Y75" s="16">
        <v>-0.245316707028278</v>
      </c>
      <c r="Z75" s="16">
        <v>16.4577123727558</v>
      </c>
      <c r="AA75" s="16">
        <v>-0.206979289480525</v>
      </c>
      <c r="AB75" s="16">
        <v>3.73621007508901</v>
      </c>
      <c r="AC75" s="16">
        <v>-0.202338879488597</v>
      </c>
      <c r="AD75" s="16">
        <v>37.6347827551531</v>
      </c>
      <c r="AE75" s="16">
        <v>-0.514353436990867</v>
      </c>
      <c r="AF75" s="16">
        <v>834.562378046598</v>
      </c>
      <c r="AG75" s="16">
        <v>0.807231930522147</v>
      </c>
      <c r="AH75" s="20">
        <v>122.748384196242</v>
      </c>
      <c r="AI75" s="23">
        <v>-0.502734754728799</v>
      </c>
      <c r="AJ75" s="24">
        <v>70</v>
      </c>
      <c r="AK75" s="29">
        <v>1</v>
      </c>
      <c r="AL75" s="14">
        <v>2</v>
      </c>
      <c r="AM75" s="29">
        <v>1</v>
      </c>
      <c r="AN75" s="30">
        <v>0</v>
      </c>
      <c r="AO75" s="29">
        <v>3</v>
      </c>
      <c r="AP75" s="35">
        <v>36.25</v>
      </c>
      <c r="AQ75" s="35">
        <v>26.6666666666667</v>
      </c>
      <c r="AR75" s="35">
        <v>46.6666666666667</v>
      </c>
      <c r="AS75" s="35">
        <v>8</v>
      </c>
      <c r="AT75" s="35">
        <v>20</v>
      </c>
      <c r="AU75" s="35">
        <v>28</v>
      </c>
      <c r="AV75" s="35">
        <v>81.6666666666667</v>
      </c>
      <c r="AW75" s="35">
        <v>15.2777777777778</v>
      </c>
      <c r="AX75" s="35">
        <v>50</v>
      </c>
      <c r="AY75" s="35">
        <v>83.5470085470085</v>
      </c>
      <c r="AZ75" s="35">
        <v>27.1604938271605</v>
      </c>
      <c r="BA75" s="29">
        <v>5</v>
      </c>
      <c r="BB75" s="29">
        <v>1</v>
      </c>
      <c r="BC75" s="29">
        <v>1</v>
      </c>
      <c r="BD75" s="37">
        <v>1</v>
      </c>
      <c r="BE75" s="38">
        <v>293</v>
      </c>
      <c r="BF75" s="36">
        <f t="shared" si="1"/>
        <v>1</v>
      </c>
    </row>
    <row r="76" spans="1:58">
      <c r="A76" s="14" t="s">
        <v>152</v>
      </c>
      <c r="B76" s="14" t="s">
        <v>152</v>
      </c>
      <c r="C76" s="15" t="s">
        <v>73</v>
      </c>
      <c r="D76" s="16">
        <v>29.1677223534015</v>
      </c>
      <c r="E76" s="16">
        <v>-0.154297067026158</v>
      </c>
      <c r="F76" s="16">
        <v>8.65583515643869</v>
      </c>
      <c r="G76" s="16">
        <v>-0.267119484570569</v>
      </c>
      <c r="H76" s="16">
        <v>39.6280043769418</v>
      </c>
      <c r="I76" s="16">
        <v>-0.35614467900672</v>
      </c>
      <c r="J76" s="16">
        <v>28.6533416178501</v>
      </c>
      <c r="K76" s="16">
        <v>0.412444917471569</v>
      </c>
      <c r="L76" s="16">
        <v>10.9992105940541</v>
      </c>
      <c r="M76" s="16">
        <v>0.462725890930531</v>
      </c>
      <c r="N76" s="16">
        <v>1.49228427036237</v>
      </c>
      <c r="O76" s="16">
        <v>-0.269993707812182</v>
      </c>
      <c r="P76" s="16">
        <v>2.41625519457819</v>
      </c>
      <c r="Q76" s="16">
        <v>-0.512893661069147</v>
      </c>
      <c r="R76" s="16">
        <v>2.54275914817277</v>
      </c>
      <c r="S76" s="16">
        <v>-0.561979595007212</v>
      </c>
      <c r="T76" s="16">
        <v>57.3947458738449</v>
      </c>
      <c r="U76" s="16">
        <v>0.0402776088570457</v>
      </c>
      <c r="V76" s="16">
        <v>15.9968506984475</v>
      </c>
      <c r="W76" s="16">
        <v>-0.0561134624245176</v>
      </c>
      <c r="X76" s="16">
        <v>2.20630875527128</v>
      </c>
      <c r="Y76" s="16">
        <v>-0.222339852223155</v>
      </c>
      <c r="Z76" s="16">
        <v>12.9495139235266</v>
      </c>
      <c r="AA76" s="16">
        <v>-0.531468643850874</v>
      </c>
      <c r="AB76" s="16">
        <v>4.99020605238949</v>
      </c>
      <c r="AC76" s="16">
        <v>-0.130379671793922</v>
      </c>
      <c r="AD76" s="16">
        <v>42.2716517025559</v>
      </c>
      <c r="AE76" s="16">
        <v>-0.343782834898411</v>
      </c>
      <c r="AF76" s="16">
        <v>860.634062700834</v>
      </c>
      <c r="AG76" s="16">
        <v>0.88553366888829</v>
      </c>
      <c r="AH76" s="20">
        <v>144.736454763817</v>
      </c>
      <c r="AI76" s="23">
        <v>-0.410686370461237</v>
      </c>
      <c r="AJ76" s="24">
        <v>64</v>
      </c>
      <c r="AK76" s="29">
        <v>1</v>
      </c>
      <c r="AL76" s="14">
        <v>1</v>
      </c>
      <c r="AM76" s="29">
        <v>1</v>
      </c>
      <c r="AN76" s="30">
        <v>0</v>
      </c>
      <c r="AO76" s="29">
        <v>1</v>
      </c>
      <c r="AP76" s="35">
        <v>0</v>
      </c>
      <c r="AQ76" s="35">
        <v>0</v>
      </c>
      <c r="AR76" s="35">
        <v>0</v>
      </c>
      <c r="AS76" s="35">
        <v>0</v>
      </c>
      <c r="AT76" s="35">
        <v>0</v>
      </c>
      <c r="AU76" s="35">
        <v>0</v>
      </c>
      <c r="AV76" s="35">
        <v>100</v>
      </c>
      <c r="AW76" s="35">
        <v>0</v>
      </c>
      <c r="AX76" s="35">
        <v>91.6666666666667</v>
      </c>
      <c r="AY76" s="35">
        <v>100</v>
      </c>
      <c r="AZ76" s="35">
        <v>5.55555555555556</v>
      </c>
      <c r="BA76" s="29" t="s">
        <v>79</v>
      </c>
      <c r="BB76" s="29">
        <v>0</v>
      </c>
      <c r="BC76" s="29">
        <v>0</v>
      </c>
      <c r="BD76" s="36">
        <v>0</v>
      </c>
      <c r="BE76" s="38">
        <v>676</v>
      </c>
      <c r="BF76" s="36">
        <f t="shared" si="1"/>
        <v>0</v>
      </c>
    </row>
    <row r="77" spans="1:58">
      <c r="A77" s="14" t="s">
        <v>153</v>
      </c>
      <c r="B77" s="14" t="s">
        <v>153</v>
      </c>
      <c r="C77" s="15" t="s">
        <v>73</v>
      </c>
      <c r="D77" s="16">
        <v>7.73565408684159</v>
      </c>
      <c r="E77" s="16">
        <v>-0.670655780369726</v>
      </c>
      <c r="F77" s="16">
        <v>0.04367910942995</v>
      </c>
      <c r="G77" s="16">
        <v>-0.468606096058716</v>
      </c>
      <c r="H77" s="16">
        <v>29.7961756059322</v>
      </c>
      <c r="I77" s="16">
        <v>-0.699491764359702</v>
      </c>
      <c r="J77" s="16">
        <v>0.762738344395479</v>
      </c>
      <c r="K77" s="16">
        <v>-0.399787428194298</v>
      </c>
      <c r="L77" s="16">
        <v>0</v>
      </c>
      <c r="M77" s="16">
        <v>-0.424781864658015</v>
      </c>
      <c r="N77" s="16">
        <v>0.637206359290008</v>
      </c>
      <c r="O77" s="16">
        <v>-0.682293930943097</v>
      </c>
      <c r="P77" s="16">
        <v>5.99258790034049</v>
      </c>
      <c r="Q77" s="16">
        <v>-0.251817460675893</v>
      </c>
      <c r="R77" s="16">
        <v>0.788165795728756</v>
      </c>
      <c r="S77" s="16">
        <v>-0.980056796793036</v>
      </c>
      <c r="T77" s="16">
        <v>38.4149947447517</v>
      </c>
      <c r="U77" s="16">
        <v>-0.145496188325609</v>
      </c>
      <c r="V77" s="16">
        <v>13.5483147248901</v>
      </c>
      <c r="W77" s="16">
        <v>-0.094523009151924</v>
      </c>
      <c r="X77" s="16">
        <v>0.061249032563186</v>
      </c>
      <c r="Y77" s="16">
        <v>-0.276367867959056</v>
      </c>
      <c r="Z77" s="16">
        <v>6.80891689556832</v>
      </c>
      <c r="AA77" s="16">
        <v>-1.09944060834691</v>
      </c>
      <c r="AB77" s="16">
        <v>1.74542749223069</v>
      </c>
      <c r="AC77" s="16">
        <v>-0.316577792489925</v>
      </c>
      <c r="AD77" s="16">
        <v>27.3603556612183</v>
      </c>
      <c r="AE77" s="16">
        <v>-0.892305722346939</v>
      </c>
      <c r="AF77" s="16">
        <v>430.217690275036</v>
      </c>
      <c r="AG77" s="16">
        <v>-0.407146517649377</v>
      </c>
      <c r="AH77" s="20">
        <v>71.2622366769166</v>
      </c>
      <c r="AI77" s="23">
        <v>-0.718270568876312</v>
      </c>
      <c r="AJ77" s="24">
        <v>39</v>
      </c>
      <c r="AK77" s="29">
        <v>2</v>
      </c>
      <c r="AL77" s="14">
        <v>2</v>
      </c>
      <c r="AM77" s="29">
        <v>3</v>
      </c>
      <c r="AN77" s="30">
        <v>10</v>
      </c>
      <c r="AO77" s="29">
        <v>3</v>
      </c>
      <c r="AP77" s="35">
        <v>28.75</v>
      </c>
      <c r="AQ77" s="35">
        <v>16.6666666666667</v>
      </c>
      <c r="AR77" s="35">
        <v>43.3333333333333</v>
      </c>
      <c r="AS77" s="35">
        <v>0</v>
      </c>
      <c r="AT77" s="35">
        <v>13</v>
      </c>
      <c r="AU77" s="35">
        <v>15</v>
      </c>
      <c r="AV77" s="35">
        <v>88.3333333333333</v>
      </c>
      <c r="AW77" s="35">
        <v>3.47222222222222</v>
      </c>
      <c r="AX77" s="35">
        <v>75</v>
      </c>
      <c r="AY77" s="35">
        <v>93.3760683760684</v>
      </c>
      <c r="AZ77" s="35">
        <v>14.8148148148148</v>
      </c>
      <c r="BA77" s="29" t="s">
        <v>79</v>
      </c>
      <c r="BB77" s="29">
        <v>0</v>
      </c>
      <c r="BC77" s="29">
        <v>0</v>
      </c>
      <c r="BD77" s="36">
        <v>0</v>
      </c>
      <c r="BE77" s="38">
        <v>563</v>
      </c>
      <c r="BF77" s="36">
        <f t="shared" si="1"/>
        <v>0</v>
      </c>
    </row>
    <row r="78" spans="1:58">
      <c r="A78" s="14" t="s">
        <v>154</v>
      </c>
      <c r="B78" s="14" t="s">
        <v>154</v>
      </c>
      <c r="C78" s="15" t="s">
        <v>73</v>
      </c>
      <c r="D78" s="16">
        <v>4.42088049727055</v>
      </c>
      <c r="E78" s="16">
        <v>-0.750517985195134</v>
      </c>
      <c r="F78" s="16">
        <v>1.46062818271764</v>
      </c>
      <c r="G78" s="16">
        <v>-0.435455713521562</v>
      </c>
      <c r="H78" s="16">
        <v>69.1899717784001</v>
      </c>
      <c r="I78" s="16">
        <v>0.676218229358729</v>
      </c>
      <c r="J78" s="16">
        <v>0</v>
      </c>
      <c r="K78" s="16">
        <v>-0.421999954345974</v>
      </c>
      <c r="L78" s="16">
        <v>0</v>
      </c>
      <c r="M78" s="16">
        <v>-0.424781864658015</v>
      </c>
      <c r="N78" s="16">
        <v>0.461432659600386</v>
      </c>
      <c r="O78" s="16">
        <v>-0.76704823773099</v>
      </c>
      <c r="P78" s="16">
        <v>1.35958018623972</v>
      </c>
      <c r="Q78" s="16">
        <v>-0.590032092788049</v>
      </c>
      <c r="R78" s="16">
        <v>2.34538710373728</v>
      </c>
      <c r="S78" s="16">
        <v>-0.609008584335935</v>
      </c>
      <c r="T78" s="16">
        <v>1.25204532594828</v>
      </c>
      <c r="U78" s="16">
        <v>-0.509247123787317</v>
      </c>
      <c r="V78" s="16">
        <v>0</v>
      </c>
      <c r="W78" s="16">
        <v>-0.307051897076419</v>
      </c>
      <c r="X78" s="16">
        <v>0</v>
      </c>
      <c r="Y78" s="16">
        <v>-0.277910558663702</v>
      </c>
      <c r="Z78" s="16">
        <v>12.1654939319613</v>
      </c>
      <c r="AA78" s="16">
        <v>-0.603986246420469</v>
      </c>
      <c r="AB78" s="16">
        <v>1.59902355539675</v>
      </c>
      <c r="AC78" s="16">
        <v>-0.324979024621969</v>
      </c>
      <c r="AD78" s="16">
        <v>0</v>
      </c>
      <c r="AE78" s="16">
        <v>-1.89877633679286</v>
      </c>
      <c r="AF78" s="16">
        <v>0</v>
      </c>
      <c r="AG78" s="16">
        <v>-1.69922999714669</v>
      </c>
      <c r="AH78" s="20">
        <v>0</v>
      </c>
      <c r="AI78" s="23">
        <v>-1.01659477723482</v>
      </c>
      <c r="AJ78" s="24">
        <v>68</v>
      </c>
      <c r="AK78" s="29">
        <v>2</v>
      </c>
      <c r="AL78" s="46">
        <v>2</v>
      </c>
      <c r="AM78" s="29">
        <v>2</v>
      </c>
      <c r="AN78" s="30">
        <v>10</v>
      </c>
      <c r="AO78" s="29">
        <v>1</v>
      </c>
      <c r="AP78" s="35">
        <v>0</v>
      </c>
      <c r="AQ78" s="35">
        <v>0</v>
      </c>
      <c r="AR78" s="35">
        <v>0</v>
      </c>
      <c r="AS78" s="35">
        <v>0</v>
      </c>
      <c r="AT78" s="35">
        <v>0</v>
      </c>
      <c r="AU78" s="35">
        <v>0</v>
      </c>
      <c r="AV78" s="35">
        <v>100</v>
      </c>
      <c r="AW78" s="35">
        <v>0</v>
      </c>
      <c r="AX78" s="35">
        <v>83.3333333333333</v>
      </c>
      <c r="AY78" s="35">
        <v>100</v>
      </c>
      <c r="AZ78" s="35">
        <v>0</v>
      </c>
      <c r="BA78" s="29" t="s">
        <v>79</v>
      </c>
      <c r="BB78" s="29">
        <v>0</v>
      </c>
      <c r="BC78" s="29">
        <v>0</v>
      </c>
      <c r="BD78" s="36">
        <v>0</v>
      </c>
      <c r="BE78" s="38">
        <v>615</v>
      </c>
      <c r="BF78" s="36">
        <f t="shared" si="1"/>
        <v>0</v>
      </c>
    </row>
    <row r="79" spans="1:58">
      <c r="A79" s="14" t="s">
        <v>155</v>
      </c>
      <c r="B79" s="14" t="s">
        <v>155</v>
      </c>
      <c r="C79" s="15" t="s">
        <v>73</v>
      </c>
      <c r="D79" s="16">
        <v>4.42088049727055</v>
      </c>
      <c r="E79" s="16">
        <v>-0.750517985195134</v>
      </c>
      <c r="F79" s="16">
        <v>0</v>
      </c>
      <c r="G79" s="16">
        <v>-0.469627995302509</v>
      </c>
      <c r="H79" s="16">
        <v>9.4262038973244</v>
      </c>
      <c r="I79" s="16">
        <v>-1.41085183559038</v>
      </c>
      <c r="J79" s="16">
        <v>0</v>
      </c>
      <c r="K79" s="16">
        <v>-0.421999954345974</v>
      </c>
      <c r="L79" s="16">
        <v>0</v>
      </c>
      <c r="M79" s="16">
        <v>-0.424781864658015</v>
      </c>
      <c r="N79" s="16">
        <v>0</v>
      </c>
      <c r="O79" s="16">
        <v>-0.989541166211084</v>
      </c>
      <c r="P79" s="16">
        <v>3.84000165208697</v>
      </c>
      <c r="Q79" s="16">
        <v>-0.408958611947223</v>
      </c>
      <c r="R79" s="16">
        <v>3.07110716011451</v>
      </c>
      <c r="S79" s="16">
        <v>-0.436087029590831</v>
      </c>
      <c r="T79" s="16">
        <v>34.9130801897864</v>
      </c>
      <c r="U79" s="16">
        <v>-0.179772926722242</v>
      </c>
      <c r="V79" s="16">
        <v>0</v>
      </c>
      <c r="W79" s="16">
        <v>-0.307051897076419</v>
      </c>
      <c r="X79" s="16">
        <v>0</v>
      </c>
      <c r="Y79" s="16">
        <v>-0.277910558663702</v>
      </c>
      <c r="Z79" s="16">
        <v>16.2487911240406</v>
      </c>
      <c r="AA79" s="16">
        <v>-0.226303373363162</v>
      </c>
      <c r="AB79" s="16">
        <v>0.638075934926842</v>
      </c>
      <c r="AC79" s="16">
        <v>-0.380121968185439</v>
      </c>
      <c r="AD79" s="16">
        <v>46.4893681090664</v>
      </c>
      <c r="AE79" s="16">
        <v>-0.188631064366556</v>
      </c>
      <c r="AF79" s="16">
        <v>722.688048114585</v>
      </c>
      <c r="AG79" s="16">
        <v>0.471236975520238</v>
      </c>
      <c r="AH79" s="20">
        <v>333.944598104199</v>
      </c>
      <c r="AI79" s="23">
        <v>0.381393308891378</v>
      </c>
      <c r="AJ79" s="24">
        <v>62</v>
      </c>
      <c r="AK79" s="29">
        <v>2</v>
      </c>
      <c r="AL79" s="14">
        <v>1</v>
      </c>
      <c r="AM79" s="29">
        <v>1</v>
      </c>
      <c r="AN79" s="30">
        <v>0</v>
      </c>
      <c r="AO79" s="29">
        <v>1</v>
      </c>
      <c r="AP79" s="35">
        <v>0</v>
      </c>
      <c r="AQ79" s="35">
        <v>0</v>
      </c>
      <c r="AR79" s="35">
        <v>0</v>
      </c>
      <c r="AS79" s="35">
        <v>0</v>
      </c>
      <c r="AT79" s="35">
        <v>0</v>
      </c>
      <c r="AU79" s="35">
        <v>7</v>
      </c>
      <c r="AV79" s="35">
        <v>100</v>
      </c>
      <c r="AW79" s="35">
        <v>0</v>
      </c>
      <c r="AX79" s="35">
        <v>83.3333333333333</v>
      </c>
      <c r="AY79" s="35">
        <v>100</v>
      </c>
      <c r="AZ79" s="35">
        <v>17.1296296296296</v>
      </c>
      <c r="BA79" s="29" t="s">
        <v>79</v>
      </c>
      <c r="BB79" s="29">
        <v>0</v>
      </c>
      <c r="BC79" s="29">
        <v>0</v>
      </c>
      <c r="BD79" s="36">
        <v>0</v>
      </c>
      <c r="BE79" s="38">
        <v>574</v>
      </c>
      <c r="BF79" s="36">
        <f t="shared" si="1"/>
        <v>0</v>
      </c>
    </row>
    <row r="80" spans="1:58">
      <c r="A80" s="14" t="s">
        <v>156</v>
      </c>
      <c r="B80" s="14" t="s">
        <v>156</v>
      </c>
      <c r="C80" s="15" t="s">
        <v>73</v>
      </c>
      <c r="D80" s="16">
        <v>0</v>
      </c>
      <c r="E80" s="16">
        <v>-0.857029411765105</v>
      </c>
      <c r="F80" s="16">
        <v>0</v>
      </c>
      <c r="G80" s="16">
        <v>-0.469627995302509</v>
      </c>
      <c r="H80" s="16">
        <v>23.4925866403444</v>
      </c>
      <c r="I80" s="16">
        <v>-0.919625673219014</v>
      </c>
      <c r="J80" s="16">
        <v>0</v>
      </c>
      <c r="K80" s="16">
        <v>-0.421999954345974</v>
      </c>
      <c r="L80" s="16">
        <v>0</v>
      </c>
      <c r="M80" s="16">
        <v>-0.424781864658015</v>
      </c>
      <c r="N80" s="16">
        <v>0.332609666314396</v>
      </c>
      <c r="O80" s="16">
        <v>-0.829163921212505</v>
      </c>
      <c r="P80" s="16">
        <v>0.407295856677229</v>
      </c>
      <c r="Q80" s="16">
        <v>-0.659549890742258</v>
      </c>
      <c r="R80" s="16">
        <v>1.87815176899382</v>
      </c>
      <c r="S80" s="16">
        <v>-0.720339475367132</v>
      </c>
      <c r="T80" s="16">
        <v>8.48166236856004</v>
      </c>
      <c r="U80" s="16">
        <v>-0.438483634790684</v>
      </c>
      <c r="V80" s="16">
        <v>0</v>
      </c>
      <c r="W80" s="16">
        <v>-0.307051897076419</v>
      </c>
      <c r="X80" s="16">
        <v>3.28670744677818</v>
      </c>
      <c r="Y80" s="16">
        <v>-0.195127650675643</v>
      </c>
      <c r="Z80" s="16">
        <v>7.36527250145233</v>
      </c>
      <c r="AA80" s="16">
        <v>-1.04798072830698</v>
      </c>
      <c r="AB80" s="16">
        <v>1.92540438821497</v>
      </c>
      <c r="AC80" s="16">
        <v>-0.306250012279452</v>
      </c>
      <c r="AD80" s="16">
        <v>18.8000364646503</v>
      </c>
      <c r="AE80" s="16">
        <v>-1.20720330000655</v>
      </c>
      <c r="AF80" s="16">
        <v>288.378241093987</v>
      </c>
      <c r="AG80" s="16">
        <v>-0.833136459882272</v>
      </c>
      <c r="AH80" s="20">
        <v>199.420406497281</v>
      </c>
      <c r="AI80" s="23">
        <v>-0.181763628606227</v>
      </c>
      <c r="AJ80" s="24">
        <v>50</v>
      </c>
      <c r="AK80" s="29">
        <v>1</v>
      </c>
      <c r="AL80" s="14">
        <v>1</v>
      </c>
      <c r="AM80" s="29">
        <v>2</v>
      </c>
      <c r="AN80" s="30">
        <v>22</v>
      </c>
      <c r="AO80" s="29">
        <v>3</v>
      </c>
      <c r="AP80" s="35">
        <v>100</v>
      </c>
      <c r="AQ80" s="35">
        <v>100</v>
      </c>
      <c r="AR80" s="35">
        <v>100</v>
      </c>
      <c r="AS80" s="35">
        <v>0</v>
      </c>
      <c r="AT80" s="35">
        <v>3</v>
      </c>
      <c r="AU80" s="35">
        <v>40</v>
      </c>
      <c r="AV80" s="35">
        <v>36.6666666666667</v>
      </c>
      <c r="AW80" s="35">
        <v>49.3055555555556</v>
      </c>
      <c r="AX80" s="35">
        <v>66.6666666666667</v>
      </c>
      <c r="AY80" s="35">
        <v>45.2991452991453</v>
      </c>
      <c r="AZ80" s="35">
        <v>51.8518518518518</v>
      </c>
      <c r="BA80" s="29">
        <v>4</v>
      </c>
      <c r="BB80" s="29">
        <v>1</v>
      </c>
      <c r="BC80" s="29">
        <v>0</v>
      </c>
      <c r="BD80" s="36">
        <v>0</v>
      </c>
      <c r="BE80" s="38">
        <v>559</v>
      </c>
      <c r="BF80" s="36">
        <f t="shared" si="1"/>
        <v>0</v>
      </c>
    </row>
    <row r="81" spans="1:58">
      <c r="A81" s="14" t="s">
        <v>157</v>
      </c>
      <c r="B81" s="14" t="s">
        <v>157</v>
      </c>
      <c r="C81" s="15" t="s">
        <v>73</v>
      </c>
      <c r="D81" s="16">
        <v>0</v>
      </c>
      <c r="E81" s="16">
        <v>-0.857029411765105</v>
      </c>
      <c r="F81" s="16">
        <v>0</v>
      </c>
      <c r="G81" s="16">
        <v>-0.469627995302509</v>
      </c>
      <c r="H81" s="16">
        <v>22.2210450066439</v>
      </c>
      <c r="I81" s="16">
        <v>-0.964030445108791</v>
      </c>
      <c r="J81" s="16">
        <v>4.50169192936528</v>
      </c>
      <c r="K81" s="16">
        <v>-0.290901327349493</v>
      </c>
      <c r="L81" s="16">
        <v>0</v>
      </c>
      <c r="M81" s="16">
        <v>-0.424781864658015</v>
      </c>
      <c r="N81" s="16">
        <v>0.589462101693078</v>
      </c>
      <c r="O81" s="16">
        <v>-0.705315187609343</v>
      </c>
      <c r="P81" s="16">
        <v>6.10247524863866</v>
      </c>
      <c r="Q81" s="16">
        <v>-0.243795564022163</v>
      </c>
      <c r="R81" s="16">
        <v>4.09206035614788</v>
      </c>
      <c r="S81" s="16">
        <v>-0.192818551024345</v>
      </c>
      <c r="T81" s="16">
        <v>19.1260285701385</v>
      </c>
      <c r="U81" s="16">
        <v>-0.334296582261907</v>
      </c>
      <c r="V81" s="16">
        <v>1.67953563673409</v>
      </c>
      <c r="W81" s="16">
        <v>-0.280705458544925</v>
      </c>
      <c r="X81" s="16">
        <v>0</v>
      </c>
      <c r="Y81" s="16">
        <v>-0.277910558663702</v>
      </c>
      <c r="Z81" s="16">
        <v>22.1326580383139</v>
      </c>
      <c r="AA81" s="16">
        <v>0.317922446197612</v>
      </c>
      <c r="AB81" s="16">
        <v>1.59902355539675</v>
      </c>
      <c r="AC81" s="16">
        <v>-0.324979024621969</v>
      </c>
      <c r="AD81" s="16">
        <v>28.7321538046334</v>
      </c>
      <c r="AE81" s="16">
        <v>-0.841843128315101</v>
      </c>
      <c r="AF81" s="16">
        <v>283.829942900775</v>
      </c>
      <c r="AG81" s="16">
        <v>-0.846796476864651</v>
      </c>
      <c r="AH81" s="20">
        <v>219.553012923458</v>
      </c>
      <c r="AI81" s="23">
        <v>-0.0974827506215461</v>
      </c>
      <c r="AJ81" s="24">
        <v>52</v>
      </c>
      <c r="AK81" s="29">
        <v>2</v>
      </c>
      <c r="AL81" s="14">
        <v>6</v>
      </c>
      <c r="AM81" s="29">
        <v>1</v>
      </c>
      <c r="AN81" s="30">
        <v>0</v>
      </c>
      <c r="AO81" s="29">
        <v>3</v>
      </c>
      <c r="AP81" s="35">
        <v>25</v>
      </c>
      <c r="AQ81" s="35">
        <v>25</v>
      </c>
      <c r="AR81" s="35">
        <v>25</v>
      </c>
      <c r="AS81" s="35">
        <v>0</v>
      </c>
      <c r="AT81" s="35">
        <v>0</v>
      </c>
      <c r="AU81" s="35">
        <v>11</v>
      </c>
      <c r="AV81" s="35">
        <v>100</v>
      </c>
      <c r="AW81" s="35">
        <v>0</v>
      </c>
      <c r="AX81" s="35">
        <v>100</v>
      </c>
      <c r="AY81" s="35">
        <v>100</v>
      </c>
      <c r="AZ81" s="35">
        <v>11.5740740740741</v>
      </c>
      <c r="BA81" s="29">
        <v>4</v>
      </c>
      <c r="BB81" s="29">
        <v>1</v>
      </c>
      <c r="BC81" s="29">
        <v>1</v>
      </c>
      <c r="BD81" s="36">
        <v>1</v>
      </c>
      <c r="BE81" s="38">
        <v>107</v>
      </c>
      <c r="BF81" s="36">
        <f t="shared" si="1"/>
        <v>1</v>
      </c>
    </row>
    <row r="82" spans="1:58">
      <c r="A82" s="14" t="s">
        <v>158</v>
      </c>
      <c r="B82" s="14" t="s">
        <v>158</v>
      </c>
      <c r="C82" s="15" t="s">
        <v>73</v>
      </c>
      <c r="D82" s="16">
        <v>7.58969557583394</v>
      </c>
      <c r="E82" s="16">
        <v>-0.674172330802847</v>
      </c>
      <c r="F82" s="16">
        <v>18.8453548536334</v>
      </c>
      <c r="G82" s="16">
        <v>-0.0287294942739375</v>
      </c>
      <c r="H82" s="16">
        <v>6.58056732119173</v>
      </c>
      <c r="I82" s="16">
        <v>-1.51022714481768</v>
      </c>
      <c r="J82" s="16">
        <v>3.25939322994953</v>
      </c>
      <c r="K82" s="16">
        <v>-0.327079647938366</v>
      </c>
      <c r="L82" s="16">
        <v>1.24290537537375</v>
      </c>
      <c r="M82" s="16">
        <v>-0.324493925748727</v>
      </c>
      <c r="N82" s="16">
        <v>0.461432659600386</v>
      </c>
      <c r="O82" s="16">
        <v>-0.76704823773099</v>
      </c>
      <c r="P82" s="16">
        <v>1.35958018623972</v>
      </c>
      <c r="Q82" s="16">
        <v>-0.590032092788049</v>
      </c>
      <c r="R82" s="16">
        <v>0.831287580226623</v>
      </c>
      <c r="S82" s="16">
        <v>-0.969781917446339</v>
      </c>
      <c r="T82" s="16">
        <v>4.12545492542838</v>
      </c>
      <c r="U82" s="16">
        <v>-0.481122191667514</v>
      </c>
      <c r="V82" s="16">
        <v>11.6280844270491</v>
      </c>
      <c r="W82" s="16">
        <v>-0.124645162205346</v>
      </c>
      <c r="X82" s="16">
        <v>2.07314740506889</v>
      </c>
      <c r="Y82" s="16">
        <v>-0.225693811764694</v>
      </c>
      <c r="Z82" s="16">
        <v>11.2065936376808</v>
      </c>
      <c r="AA82" s="16">
        <v>-0.692679329750741</v>
      </c>
      <c r="AB82" s="16">
        <v>0.795707410394729</v>
      </c>
      <c r="AC82" s="16">
        <v>-0.371076455849083</v>
      </c>
      <c r="AD82" s="16">
        <v>13.6771434698325</v>
      </c>
      <c r="AE82" s="16">
        <v>-1.39565265074154</v>
      </c>
      <c r="AF82" s="16">
        <v>133.579631357873</v>
      </c>
      <c r="AG82" s="16">
        <v>-1.2980469710268</v>
      </c>
      <c r="AH82" s="20">
        <v>77.4594056997097</v>
      </c>
      <c r="AI82" s="23">
        <v>-0.6923274378577</v>
      </c>
      <c r="AJ82" s="24">
        <v>66</v>
      </c>
      <c r="AK82" s="29">
        <v>2</v>
      </c>
      <c r="AL82" s="14">
        <v>1</v>
      </c>
      <c r="AM82" s="29">
        <v>2</v>
      </c>
      <c r="AN82" s="30">
        <v>25</v>
      </c>
      <c r="AO82" s="29">
        <v>1</v>
      </c>
      <c r="AP82" s="35">
        <v>6.875</v>
      </c>
      <c r="AQ82" s="35">
        <v>6.66666666666667</v>
      </c>
      <c r="AR82" s="35">
        <v>5</v>
      </c>
      <c r="AS82" s="35">
        <v>2</v>
      </c>
      <c r="AT82" s="35">
        <v>8</v>
      </c>
      <c r="AU82" s="35">
        <v>15</v>
      </c>
      <c r="AV82" s="35">
        <v>96.6666666666667</v>
      </c>
      <c r="AW82" s="35">
        <v>6.25</v>
      </c>
      <c r="AX82" s="35">
        <v>95.8333333333333</v>
      </c>
      <c r="AY82" s="35">
        <v>94.8717948717949</v>
      </c>
      <c r="AZ82" s="35">
        <v>12.962962962963</v>
      </c>
      <c r="BA82" s="29" t="s">
        <v>74</v>
      </c>
      <c r="BB82" s="29">
        <v>0</v>
      </c>
      <c r="BC82" s="29">
        <v>0</v>
      </c>
      <c r="BD82" s="36">
        <v>0</v>
      </c>
      <c r="BE82" s="38">
        <v>575</v>
      </c>
      <c r="BF82" s="36">
        <f t="shared" si="1"/>
        <v>0</v>
      </c>
    </row>
    <row r="83" spans="1:58">
      <c r="A83" s="14" t="s">
        <v>159</v>
      </c>
      <c r="B83" s="14" t="s">
        <v>159</v>
      </c>
      <c r="C83" s="15" t="s">
        <v>73</v>
      </c>
      <c r="D83" s="16">
        <v>0</v>
      </c>
      <c r="E83" s="16">
        <v>-0.857029411765105</v>
      </c>
      <c r="F83" s="16">
        <v>3.18610646121001</v>
      </c>
      <c r="G83" s="16">
        <v>-0.395087103195396</v>
      </c>
      <c r="H83" s="16">
        <v>51.564985867868</v>
      </c>
      <c r="I83" s="16">
        <v>0.060718541283185</v>
      </c>
      <c r="J83" s="16">
        <v>0</v>
      </c>
      <c r="K83" s="16">
        <v>-0.421999954345974</v>
      </c>
      <c r="L83" s="16">
        <v>0</v>
      </c>
      <c r="M83" s="16">
        <v>-0.424781864658015</v>
      </c>
      <c r="N83" s="16">
        <v>1.34799026527299</v>
      </c>
      <c r="O83" s="16">
        <v>-0.339569181256695</v>
      </c>
      <c r="P83" s="16">
        <v>11.9523542569763</v>
      </c>
      <c r="Q83" s="16">
        <v>0.183252003950547</v>
      </c>
      <c r="R83" s="16">
        <v>3.93763285006107</v>
      </c>
      <c r="S83" s="16">
        <v>-0.229614894481139</v>
      </c>
      <c r="T83" s="16">
        <v>3.40389770432281</v>
      </c>
      <c r="U83" s="16">
        <v>-0.488184793486558</v>
      </c>
      <c r="V83" s="16">
        <v>0</v>
      </c>
      <c r="W83" s="16">
        <v>-0.307051897076419</v>
      </c>
      <c r="X83" s="16">
        <v>1.42996350165246</v>
      </c>
      <c r="Y83" s="16">
        <v>-0.241893803628319</v>
      </c>
      <c r="Z83" s="16">
        <v>24.8627698590205</v>
      </c>
      <c r="AA83" s="16">
        <v>0.570443001941711</v>
      </c>
      <c r="AB83" s="16">
        <v>2.91638929677376</v>
      </c>
      <c r="AC83" s="16">
        <v>-0.249383411310936</v>
      </c>
      <c r="AD83" s="16">
        <v>41.6718264349558</v>
      </c>
      <c r="AE83" s="16">
        <v>-0.365847844327268</v>
      </c>
      <c r="AF83" s="16">
        <v>167.422026504386</v>
      </c>
      <c r="AG83" s="16">
        <v>-1.19640726474816</v>
      </c>
      <c r="AH83" s="20">
        <v>20.6837955538872</v>
      </c>
      <c r="AI83" s="23">
        <v>-0.930006463112181</v>
      </c>
      <c r="AJ83" s="24">
        <v>61</v>
      </c>
      <c r="AK83" s="29">
        <v>1</v>
      </c>
      <c r="AL83" s="14">
        <v>5</v>
      </c>
      <c r="AM83" s="29">
        <v>1</v>
      </c>
      <c r="AN83" s="30">
        <v>0</v>
      </c>
      <c r="AO83" s="29">
        <v>1</v>
      </c>
      <c r="AP83" s="35">
        <v>56.25</v>
      </c>
      <c r="AQ83" s="35">
        <v>60</v>
      </c>
      <c r="AR83" s="35">
        <v>60</v>
      </c>
      <c r="AS83" s="35">
        <v>17</v>
      </c>
      <c r="AT83" s="35">
        <v>34</v>
      </c>
      <c r="AU83" s="35">
        <v>35</v>
      </c>
      <c r="AV83" s="35">
        <v>38.3333333333333</v>
      </c>
      <c r="AW83" s="35">
        <v>48.6111111111111</v>
      </c>
      <c r="AX83" s="35">
        <v>0</v>
      </c>
      <c r="AY83" s="35">
        <v>46.3675213675214</v>
      </c>
      <c r="AZ83" s="35">
        <v>59.0740740740741</v>
      </c>
      <c r="BA83" s="29">
        <v>4</v>
      </c>
      <c r="BB83" s="29">
        <v>1</v>
      </c>
      <c r="BC83" s="29">
        <v>0</v>
      </c>
      <c r="BD83" s="37">
        <v>1</v>
      </c>
      <c r="BE83" s="38">
        <v>200</v>
      </c>
      <c r="BF83" s="36">
        <f t="shared" si="1"/>
        <v>1</v>
      </c>
    </row>
    <row r="84" spans="1:58">
      <c r="A84" s="14" t="s">
        <v>160</v>
      </c>
      <c r="B84" s="14" t="s">
        <v>160</v>
      </c>
      <c r="C84" s="15" t="s">
        <v>73</v>
      </c>
      <c r="D84" s="16">
        <v>20.4179780467241</v>
      </c>
      <c r="E84" s="16">
        <v>-0.365102979740169</v>
      </c>
      <c r="F84" s="16">
        <v>26.5432777776819</v>
      </c>
      <c r="G84" s="16">
        <v>0.151368079086009</v>
      </c>
      <c r="H84" s="16">
        <v>98.9658459385722</v>
      </c>
      <c r="I84" s="16">
        <v>1.71605118870373</v>
      </c>
      <c r="J84" s="16">
        <v>8.22404780873933</v>
      </c>
      <c r="K84" s="16">
        <v>-0.182498586194564</v>
      </c>
      <c r="L84" s="16">
        <v>4.38057643942953</v>
      </c>
      <c r="M84" s="16">
        <v>-0.0713205384384942</v>
      </c>
      <c r="N84" s="16">
        <v>4.80853116953574</v>
      </c>
      <c r="O84" s="16">
        <v>1.32902939731242</v>
      </c>
      <c r="P84" s="16">
        <v>1.88312409984708</v>
      </c>
      <c r="Q84" s="16">
        <v>-0.551812814284292</v>
      </c>
      <c r="R84" s="16">
        <v>2.97021024779958</v>
      </c>
      <c r="S84" s="16">
        <v>-0.460128325946308</v>
      </c>
      <c r="T84" s="16">
        <v>19.4952295394133</v>
      </c>
      <c r="U84" s="16">
        <v>-0.330682843308262</v>
      </c>
      <c r="V84" s="16">
        <v>18.0043883758109</v>
      </c>
      <c r="W84" s="16">
        <v>-0.0246217412252207</v>
      </c>
      <c r="X84" s="16">
        <v>5.25615727451851</v>
      </c>
      <c r="Y84" s="16">
        <v>-0.145522753824618</v>
      </c>
      <c r="Z84" s="16">
        <v>9.25776001093167</v>
      </c>
      <c r="AA84" s="16">
        <v>-0.872935884353002</v>
      </c>
      <c r="AB84" s="16">
        <v>6.64393097438942</v>
      </c>
      <c r="AC84" s="16">
        <v>-0.0354824494055129</v>
      </c>
      <c r="AD84" s="16">
        <v>68.8078106850849</v>
      </c>
      <c r="AE84" s="16">
        <v>0.632369104311851</v>
      </c>
      <c r="AF84" s="16">
        <v>1264.91774529847</v>
      </c>
      <c r="AG84" s="16">
        <v>2.09972889870507</v>
      </c>
      <c r="AH84" s="20">
        <v>435.404033020638</v>
      </c>
      <c r="AI84" s="23">
        <v>0.806131669815607</v>
      </c>
      <c r="AJ84" s="24">
        <v>65</v>
      </c>
      <c r="AK84" s="29">
        <v>1</v>
      </c>
      <c r="AL84" s="14">
        <v>1</v>
      </c>
      <c r="AM84" s="29">
        <v>3</v>
      </c>
      <c r="AN84" s="30">
        <v>40</v>
      </c>
      <c r="AO84" s="29">
        <v>3</v>
      </c>
      <c r="AP84" s="35">
        <v>18.75</v>
      </c>
      <c r="AQ84" s="35">
        <v>20</v>
      </c>
      <c r="AR84" s="35">
        <v>20</v>
      </c>
      <c r="AS84" s="35">
        <v>0</v>
      </c>
      <c r="AT84" s="35">
        <v>15</v>
      </c>
      <c r="AU84" s="35">
        <v>11</v>
      </c>
      <c r="AV84" s="35">
        <v>85</v>
      </c>
      <c r="AW84" s="35">
        <v>34.7222222222222</v>
      </c>
      <c r="AX84" s="35">
        <v>66.6666666666667</v>
      </c>
      <c r="AY84" s="35">
        <v>72.8632478632479</v>
      </c>
      <c r="AZ84" s="35">
        <v>31.1728395061728</v>
      </c>
      <c r="BA84" s="29" t="s">
        <v>74</v>
      </c>
      <c r="BB84" s="29">
        <v>0</v>
      </c>
      <c r="BC84" s="29">
        <v>0</v>
      </c>
      <c r="BD84" s="36">
        <v>0</v>
      </c>
      <c r="BE84" s="38">
        <v>585</v>
      </c>
      <c r="BF84" s="36">
        <f t="shared" si="1"/>
        <v>0</v>
      </c>
    </row>
    <row r="85" spans="1:58">
      <c r="A85" s="14" t="s">
        <v>161</v>
      </c>
      <c r="B85" s="14" t="s">
        <v>161</v>
      </c>
      <c r="C85" s="15" t="s">
        <v>73</v>
      </c>
      <c r="D85" s="16">
        <v>4.42088049727055</v>
      </c>
      <c r="E85" s="16">
        <v>-0.750517985195134</v>
      </c>
      <c r="F85" s="16">
        <v>4.79221096625783</v>
      </c>
      <c r="G85" s="16">
        <v>-0.357511314664447</v>
      </c>
      <c r="H85" s="16">
        <v>30.4604341819192</v>
      </c>
      <c r="I85" s="16">
        <v>-0.676294529003208</v>
      </c>
      <c r="J85" s="16">
        <v>0</v>
      </c>
      <c r="K85" s="16">
        <v>-0.421999954345974</v>
      </c>
      <c r="L85" s="16">
        <v>0</v>
      </c>
      <c r="M85" s="16">
        <v>-0.424781864658015</v>
      </c>
      <c r="N85" s="16">
        <v>1.22239117221988</v>
      </c>
      <c r="O85" s="16">
        <v>-0.400130369214286</v>
      </c>
      <c r="P85" s="16">
        <v>21.6471243817511</v>
      </c>
      <c r="Q85" s="16">
        <v>0.890980830126059</v>
      </c>
      <c r="R85" s="16">
        <v>13.2504991712718</v>
      </c>
      <c r="S85" s="16">
        <v>1.98941613442016</v>
      </c>
      <c r="T85" s="16">
        <v>91.978831014723</v>
      </c>
      <c r="U85" s="16">
        <v>0.37878662169973</v>
      </c>
      <c r="V85" s="16">
        <v>0</v>
      </c>
      <c r="W85" s="16">
        <v>-0.307051897076419</v>
      </c>
      <c r="X85" s="16">
        <v>2.07314740506889</v>
      </c>
      <c r="Y85" s="16">
        <v>-0.225693811764694</v>
      </c>
      <c r="Z85" s="16">
        <v>9.99075337685559</v>
      </c>
      <c r="AA85" s="16">
        <v>-0.805137968269133</v>
      </c>
      <c r="AB85" s="16">
        <v>1.92540438821497</v>
      </c>
      <c r="AC85" s="16">
        <v>-0.306250012279452</v>
      </c>
      <c r="AD85" s="16">
        <v>43.478151067919</v>
      </c>
      <c r="AE85" s="16">
        <v>-0.299400876833925</v>
      </c>
      <c r="AF85" s="16">
        <v>344.696328423505</v>
      </c>
      <c r="AG85" s="16">
        <v>-0.663994948781608</v>
      </c>
      <c r="AH85" s="20">
        <v>71.3426854550857</v>
      </c>
      <c r="AI85" s="23">
        <v>-0.717933787164428</v>
      </c>
      <c r="AJ85" s="24">
        <v>70</v>
      </c>
      <c r="AK85" s="29">
        <v>2</v>
      </c>
      <c r="AL85" s="14">
        <v>1</v>
      </c>
      <c r="AM85" s="29">
        <v>2</v>
      </c>
      <c r="AN85" s="30">
        <v>50</v>
      </c>
      <c r="AO85" s="29">
        <v>1</v>
      </c>
      <c r="AP85" s="35">
        <v>36.25</v>
      </c>
      <c r="AQ85" s="35">
        <v>26.6666666666667</v>
      </c>
      <c r="AR85" s="35">
        <v>46.6666666666667</v>
      </c>
      <c r="AS85" s="35">
        <v>6</v>
      </c>
      <c r="AT85" s="35">
        <v>18</v>
      </c>
      <c r="AU85" s="35">
        <v>22</v>
      </c>
      <c r="AV85" s="35">
        <v>61.6666666666667</v>
      </c>
      <c r="AW85" s="35">
        <v>45.8333333333333</v>
      </c>
      <c r="AX85" s="35">
        <v>50</v>
      </c>
      <c r="AY85" s="35">
        <v>57.0512820512821</v>
      </c>
      <c r="AZ85" s="35">
        <v>66.9281045751634</v>
      </c>
      <c r="BA85" s="29">
        <v>4</v>
      </c>
      <c r="BB85" s="29">
        <v>0</v>
      </c>
      <c r="BC85" s="29">
        <v>1</v>
      </c>
      <c r="BD85" s="36">
        <v>1</v>
      </c>
      <c r="BE85" s="38">
        <v>263</v>
      </c>
      <c r="BF85" s="36">
        <f t="shared" si="1"/>
        <v>1</v>
      </c>
    </row>
    <row r="86" spans="1:58">
      <c r="A86" s="17" t="s">
        <v>162</v>
      </c>
      <c r="B86" s="17" t="s">
        <v>162</v>
      </c>
      <c r="C86" s="18" t="s">
        <v>73</v>
      </c>
      <c r="D86" s="19">
        <v>73.54275382</v>
      </c>
      <c r="E86" s="19">
        <v>0.914822061734018</v>
      </c>
      <c r="F86" s="19">
        <v>280.2091689</v>
      </c>
      <c r="G86" s="19">
        <v>6.08603537649398</v>
      </c>
      <c r="H86" s="19">
        <v>114.1559932</v>
      </c>
      <c r="I86" s="19">
        <v>2.24652145113063</v>
      </c>
      <c r="J86" s="19">
        <v>201.1375834</v>
      </c>
      <c r="K86" s="19">
        <v>5.43554459443174</v>
      </c>
      <c r="L86" s="19">
        <v>57.67823166</v>
      </c>
      <c r="M86" s="19">
        <v>4.2291773889774</v>
      </c>
      <c r="N86" s="19">
        <v>8.707151998</v>
      </c>
      <c r="O86" s="19">
        <v>3.20886071638227</v>
      </c>
      <c r="P86" s="19">
        <v>12.01285461</v>
      </c>
      <c r="Q86" s="19">
        <v>0.187668595914831</v>
      </c>
      <c r="R86" s="19">
        <v>15.9923042</v>
      </c>
      <c r="S86" s="19">
        <v>2.64272202587147</v>
      </c>
      <c r="T86" s="19">
        <v>7.025315485</v>
      </c>
      <c r="U86" s="19">
        <v>-0.452738357559907</v>
      </c>
      <c r="V86" s="19">
        <v>100.1334337</v>
      </c>
      <c r="W86" s="19">
        <v>1.26371522344416</v>
      </c>
      <c r="X86" s="19">
        <v>28.12021788</v>
      </c>
      <c r="Y86" s="19">
        <v>0.430358566915495</v>
      </c>
      <c r="Z86" s="19">
        <v>29.74960054</v>
      </c>
      <c r="AA86" s="19">
        <v>1.02244837037708</v>
      </c>
      <c r="AB86" s="19">
        <v>15.39537928</v>
      </c>
      <c r="AC86" s="19">
        <v>0.466709979958037</v>
      </c>
      <c r="AD86" s="19">
        <v>38.9628338946047</v>
      </c>
      <c r="AE86" s="19">
        <v>-0.465500108368605</v>
      </c>
      <c r="AF86" s="19">
        <v>267.855531304506</v>
      </c>
      <c r="AG86" s="19">
        <v>-0.894772824153007</v>
      </c>
      <c r="AH86" s="25">
        <v>1306.56443269386</v>
      </c>
      <c r="AI86" s="23">
        <v>4.45305953378451</v>
      </c>
      <c r="AJ86" s="24">
        <v>65</v>
      </c>
      <c r="AK86" s="29">
        <v>2</v>
      </c>
      <c r="AL86" s="14">
        <v>1</v>
      </c>
      <c r="AM86" s="29">
        <v>2</v>
      </c>
      <c r="AN86" s="30">
        <v>90</v>
      </c>
      <c r="AO86" s="29">
        <v>2</v>
      </c>
      <c r="AP86" s="35">
        <v>0</v>
      </c>
      <c r="AQ86" s="35">
        <v>0</v>
      </c>
      <c r="AR86" s="35">
        <v>0</v>
      </c>
      <c r="AS86" s="35">
        <v>0</v>
      </c>
      <c r="AT86" s="35">
        <v>3</v>
      </c>
      <c r="AU86" s="35">
        <v>0</v>
      </c>
      <c r="AV86" s="35">
        <v>93.3333333333333</v>
      </c>
      <c r="AW86" s="35">
        <v>0</v>
      </c>
      <c r="AX86" s="35">
        <v>50</v>
      </c>
      <c r="AY86" s="35">
        <v>97.4358974358974</v>
      </c>
      <c r="AZ86" s="35">
        <v>0.490196078431372</v>
      </c>
      <c r="BA86" s="29">
        <v>1</v>
      </c>
      <c r="BB86" s="29">
        <v>0</v>
      </c>
      <c r="BC86" s="29">
        <v>0</v>
      </c>
      <c r="BD86" s="36">
        <v>0</v>
      </c>
      <c r="BE86" s="38">
        <v>554</v>
      </c>
      <c r="BF86" s="36">
        <f t="shared" si="1"/>
        <v>0</v>
      </c>
    </row>
    <row r="87" spans="1:58">
      <c r="A87" s="14" t="s">
        <v>163</v>
      </c>
      <c r="B87" s="14" t="s">
        <v>163</v>
      </c>
      <c r="C87" s="15" t="s">
        <v>73</v>
      </c>
      <c r="D87" s="16">
        <v>11.4498939277819</v>
      </c>
      <c r="E87" s="16">
        <v>-0.581169311706793</v>
      </c>
      <c r="F87" s="16">
        <v>4.79221096625783</v>
      </c>
      <c r="G87" s="16">
        <v>-0.357511314664447</v>
      </c>
      <c r="H87" s="16">
        <v>55.9510769408293</v>
      </c>
      <c r="I87" s="16">
        <v>0.213889596340051</v>
      </c>
      <c r="J87" s="16">
        <v>0</v>
      </c>
      <c r="K87" s="16">
        <v>-0.421999954345974</v>
      </c>
      <c r="L87" s="16">
        <v>0.752456369856442</v>
      </c>
      <c r="M87" s="16">
        <v>-0.364067428992005</v>
      </c>
      <c r="N87" s="16">
        <v>1.97275688104607</v>
      </c>
      <c r="O87" s="16">
        <v>-0.0383201234194513</v>
      </c>
      <c r="P87" s="16">
        <v>13.3499173304434</v>
      </c>
      <c r="Q87" s="16">
        <v>0.285275637390137</v>
      </c>
      <c r="R87" s="16">
        <v>4.4021484383231</v>
      </c>
      <c r="S87" s="16">
        <v>-0.118932053322545</v>
      </c>
      <c r="T87" s="16">
        <v>12.8700760930721</v>
      </c>
      <c r="U87" s="16">
        <v>-0.395529842843359</v>
      </c>
      <c r="V87" s="16">
        <v>5.4342024927567</v>
      </c>
      <c r="W87" s="16">
        <v>-0.221806976509262</v>
      </c>
      <c r="X87" s="16">
        <v>1.5617533063125</v>
      </c>
      <c r="Y87" s="16">
        <v>-0.238574389457876</v>
      </c>
      <c r="Z87" s="16">
        <v>12.9961203544333</v>
      </c>
      <c r="AA87" s="16">
        <v>-0.527157801436089</v>
      </c>
      <c r="AB87" s="16">
        <v>3.92080843894554</v>
      </c>
      <c r="AC87" s="16">
        <v>-0.191745901324947</v>
      </c>
      <c r="AD87" s="16">
        <v>34.1479839222035</v>
      </c>
      <c r="AE87" s="16">
        <v>-0.642617872121088</v>
      </c>
      <c r="AF87" s="16">
        <v>272.428639139849</v>
      </c>
      <c r="AG87" s="16">
        <v>-0.881038295755932</v>
      </c>
      <c r="AH87" s="20">
        <v>184.00708838492</v>
      </c>
      <c r="AI87" s="23">
        <v>-0.246288209063822</v>
      </c>
      <c r="AJ87" s="24">
        <v>67</v>
      </c>
      <c r="AK87" s="29">
        <v>2</v>
      </c>
      <c r="AL87" s="14">
        <v>1</v>
      </c>
      <c r="AM87" s="29">
        <v>2</v>
      </c>
      <c r="AN87" s="30">
        <v>20</v>
      </c>
      <c r="AO87" s="29">
        <v>3</v>
      </c>
      <c r="AP87" s="35">
        <v>60.625</v>
      </c>
      <c r="AQ87" s="35">
        <v>45</v>
      </c>
      <c r="AR87" s="35">
        <v>53.3333333333333</v>
      </c>
      <c r="AS87" s="35">
        <v>7</v>
      </c>
      <c r="AT87" s="35">
        <v>19</v>
      </c>
      <c r="AU87" s="35">
        <v>28</v>
      </c>
      <c r="AV87" s="35">
        <v>73.3333333333333</v>
      </c>
      <c r="AW87" s="35">
        <v>28.4722222222222</v>
      </c>
      <c r="AX87" s="35">
        <v>41.6666666666667</v>
      </c>
      <c r="AY87" s="35">
        <v>72.2222222222222</v>
      </c>
      <c r="AZ87" s="35">
        <v>29.1666666666667</v>
      </c>
      <c r="BA87" s="29">
        <v>5</v>
      </c>
      <c r="BB87" s="29">
        <v>1</v>
      </c>
      <c r="BC87" s="29">
        <v>1</v>
      </c>
      <c r="BD87" s="36">
        <v>1</v>
      </c>
      <c r="BE87" s="38">
        <v>15</v>
      </c>
      <c r="BF87" s="36">
        <f t="shared" si="1"/>
        <v>1</v>
      </c>
    </row>
    <row r="88" spans="1:58">
      <c r="A88" s="14" t="s">
        <v>164</v>
      </c>
      <c r="B88" s="14" t="s">
        <v>164</v>
      </c>
      <c r="C88" s="15" t="s">
        <v>73</v>
      </c>
      <c r="D88" s="16">
        <v>0</v>
      </c>
      <c r="E88" s="16">
        <v>-0.857029411765105</v>
      </c>
      <c r="F88" s="16">
        <v>4.79221096625783</v>
      </c>
      <c r="G88" s="16">
        <v>-0.357511314664447</v>
      </c>
      <c r="H88" s="16">
        <v>14.3811490368235</v>
      </c>
      <c r="I88" s="16">
        <v>-1.23781526107767</v>
      </c>
      <c r="J88" s="16">
        <v>0</v>
      </c>
      <c r="K88" s="16">
        <v>-0.421999954345974</v>
      </c>
      <c r="L88" s="16">
        <v>0</v>
      </c>
      <c r="M88" s="16">
        <v>-0.424781864658015</v>
      </c>
      <c r="N88" s="16">
        <v>0.843819804052581</v>
      </c>
      <c r="O88" s="16">
        <v>-0.582669360743848</v>
      </c>
      <c r="P88" s="16">
        <v>25.5571822179425</v>
      </c>
      <c r="Q88" s="16">
        <v>1.17641933016996</v>
      </c>
      <c r="R88" s="16">
        <v>3.47698342989915</v>
      </c>
      <c r="S88" s="16">
        <v>-0.339376521194986</v>
      </c>
      <c r="T88" s="16">
        <v>42.9640710288345</v>
      </c>
      <c r="U88" s="16">
        <v>-0.100969831303351</v>
      </c>
      <c r="V88" s="16">
        <v>0</v>
      </c>
      <c r="W88" s="16">
        <v>-0.307051897076419</v>
      </c>
      <c r="X88" s="16">
        <v>0.729311850207234</v>
      </c>
      <c r="Y88" s="16">
        <v>-0.259541246284077</v>
      </c>
      <c r="Z88" s="16">
        <v>13.974871955988</v>
      </c>
      <c r="AA88" s="16">
        <v>-0.436628579707709</v>
      </c>
      <c r="AB88" s="16">
        <v>1.92540438821497</v>
      </c>
      <c r="AC88" s="16">
        <v>-0.306250012279452</v>
      </c>
      <c r="AD88" s="16">
        <v>47.6941141694932</v>
      </c>
      <c r="AE88" s="16">
        <v>-0.144313602901398</v>
      </c>
      <c r="AF88" s="16">
        <v>521.904996668332</v>
      </c>
      <c r="AG88" s="16">
        <v>-0.131779752059959</v>
      </c>
      <c r="AH88" s="20">
        <v>103.645533956334</v>
      </c>
      <c r="AI88" s="23">
        <v>-0.58270477729557</v>
      </c>
      <c r="AJ88" s="24">
        <v>60</v>
      </c>
      <c r="AK88" s="29">
        <v>1</v>
      </c>
      <c r="AL88" s="14">
        <v>1</v>
      </c>
      <c r="AM88" s="29">
        <v>3</v>
      </c>
      <c r="AN88" s="30">
        <v>45</v>
      </c>
      <c r="AO88" s="29">
        <v>3</v>
      </c>
      <c r="AP88" s="35">
        <v>85</v>
      </c>
      <c r="AQ88" s="35">
        <v>73.3333333333333</v>
      </c>
      <c r="AR88" s="35">
        <v>90</v>
      </c>
      <c r="AS88" s="35">
        <v>5</v>
      </c>
      <c r="AT88" s="35">
        <v>38</v>
      </c>
      <c r="AU88" s="35">
        <v>24</v>
      </c>
      <c r="AV88" s="35">
        <v>14</v>
      </c>
      <c r="AW88" s="35">
        <v>81.25</v>
      </c>
      <c r="AX88" s="35">
        <v>0</v>
      </c>
      <c r="AY88" s="35">
        <v>16.9230769230769</v>
      </c>
      <c r="AZ88" s="35">
        <v>60.3921568627451</v>
      </c>
      <c r="BA88" s="29">
        <v>5</v>
      </c>
      <c r="BB88" s="29">
        <v>1</v>
      </c>
      <c r="BC88" s="29">
        <v>1</v>
      </c>
      <c r="BD88" s="36">
        <v>0</v>
      </c>
      <c r="BE88" s="38">
        <v>540</v>
      </c>
      <c r="BF88" s="36">
        <f t="shared" si="1"/>
        <v>0</v>
      </c>
    </row>
    <row r="89" spans="1:58">
      <c r="A89" s="14" t="s">
        <v>165</v>
      </c>
      <c r="B89" s="14" t="s">
        <v>165</v>
      </c>
      <c r="C89" s="15" t="s">
        <v>73</v>
      </c>
      <c r="D89" s="16">
        <v>38.0131964603207</v>
      </c>
      <c r="E89" s="16">
        <v>0.0588152454187001</v>
      </c>
      <c r="F89" s="16">
        <v>288.536856609341</v>
      </c>
      <c r="G89" s="16">
        <v>6.28086667877507</v>
      </c>
      <c r="H89" s="16">
        <v>112.497208604204</v>
      </c>
      <c r="I89" s="16">
        <v>2.18859338205417</v>
      </c>
      <c r="J89" s="16">
        <v>76.7808561914759</v>
      </c>
      <c r="K89" s="16">
        <v>1.81401818822293</v>
      </c>
      <c r="L89" s="16">
        <v>28.2113210555183</v>
      </c>
      <c r="M89" s="16">
        <v>1.85154206041582</v>
      </c>
      <c r="N89" s="16">
        <v>6.57936484747884</v>
      </c>
      <c r="O89" s="16">
        <v>2.18288740380452</v>
      </c>
      <c r="P89" s="16">
        <v>4.51068270315756</v>
      </c>
      <c r="Q89" s="16">
        <v>-0.359998161425621</v>
      </c>
      <c r="R89" s="16">
        <v>5.28893806513443</v>
      </c>
      <c r="S89" s="16">
        <v>0.0923684883292024</v>
      </c>
      <c r="T89" s="16">
        <v>114.550889238728</v>
      </c>
      <c r="U89" s="16">
        <v>0.5997219194273</v>
      </c>
      <c r="V89" s="16">
        <v>37.92337835442</v>
      </c>
      <c r="W89" s="16">
        <v>0.287842271804805</v>
      </c>
      <c r="X89" s="16">
        <v>13.1794742931736</v>
      </c>
      <c r="Y89" s="16">
        <v>0.0540432964968104</v>
      </c>
      <c r="Z89" s="16">
        <v>14.3974168887166</v>
      </c>
      <c r="AA89" s="16">
        <v>-0.397545462148127</v>
      </c>
      <c r="AB89" s="16">
        <v>17.1747475063878</v>
      </c>
      <c r="AC89" s="16">
        <v>0.568817107959823</v>
      </c>
      <c r="AD89" s="16">
        <v>65.7875479947019</v>
      </c>
      <c r="AE89" s="16">
        <v>0.521266541047783</v>
      </c>
      <c r="AF89" s="16">
        <v>500.380109840769</v>
      </c>
      <c r="AG89" s="16">
        <v>-0.196425979531832</v>
      </c>
      <c r="AH89" s="20">
        <v>377.83553243716</v>
      </c>
      <c r="AI89" s="23">
        <v>0.56513337725829</v>
      </c>
      <c r="AJ89" s="24">
        <v>76</v>
      </c>
      <c r="AK89" s="29">
        <v>1</v>
      </c>
      <c r="AL89" s="14">
        <v>1</v>
      </c>
      <c r="AM89" s="29">
        <v>1</v>
      </c>
      <c r="AN89" s="30">
        <v>0</v>
      </c>
      <c r="AO89" s="29">
        <v>1</v>
      </c>
      <c r="AP89" s="35">
        <v>46.875</v>
      </c>
      <c r="AQ89" s="35">
        <v>30</v>
      </c>
      <c r="AR89" s="35">
        <v>51.6666666666667</v>
      </c>
      <c r="AS89" s="35">
        <v>5</v>
      </c>
      <c r="AT89" s="35">
        <v>10</v>
      </c>
      <c r="AU89" s="35">
        <v>24</v>
      </c>
      <c r="AV89" s="35">
        <v>96.6666666666667</v>
      </c>
      <c r="AW89" s="35">
        <v>12.5</v>
      </c>
      <c r="AX89" s="35">
        <v>83.3333333333333</v>
      </c>
      <c r="AY89" s="35">
        <v>91.025641025641</v>
      </c>
      <c r="AZ89" s="35">
        <v>15.2777777777778</v>
      </c>
      <c r="BA89" s="29" t="s">
        <v>82</v>
      </c>
      <c r="BB89" s="29">
        <v>0</v>
      </c>
      <c r="BC89" s="29">
        <v>1</v>
      </c>
      <c r="BD89" s="36">
        <v>0</v>
      </c>
      <c r="BE89" s="38">
        <v>555</v>
      </c>
      <c r="BF89" s="36">
        <f t="shared" si="1"/>
        <v>0</v>
      </c>
    </row>
    <row r="90" spans="1:58">
      <c r="A90" s="14" t="s">
        <v>166</v>
      </c>
      <c r="B90" s="14" t="s">
        <v>166</v>
      </c>
      <c r="C90" s="15" t="s">
        <v>73</v>
      </c>
      <c r="D90" s="16">
        <v>0</v>
      </c>
      <c r="E90" s="16">
        <v>-0.857029411765105</v>
      </c>
      <c r="F90" s="16">
        <v>7.82102631152199</v>
      </c>
      <c r="G90" s="16">
        <v>-0.286650343566212</v>
      </c>
      <c r="H90" s="16">
        <v>55.9510769408293</v>
      </c>
      <c r="I90" s="16">
        <v>0.213889596340051</v>
      </c>
      <c r="J90" s="16">
        <v>0</v>
      </c>
      <c r="K90" s="16">
        <v>-0.421999954345974</v>
      </c>
      <c r="L90" s="16">
        <v>0</v>
      </c>
      <c r="M90" s="16">
        <v>-0.424781864658015</v>
      </c>
      <c r="N90" s="16">
        <v>0.716885403454142</v>
      </c>
      <c r="O90" s="16">
        <v>-0.643874405350943</v>
      </c>
      <c r="P90" s="16">
        <v>44.2387507215053</v>
      </c>
      <c r="Q90" s="16">
        <v>2.54019427047067</v>
      </c>
      <c r="R90" s="16">
        <v>5.0269269829662</v>
      </c>
      <c r="S90" s="16">
        <v>0.0299375781030882</v>
      </c>
      <c r="T90" s="16">
        <v>64.6723513304779</v>
      </c>
      <c r="U90" s="16">
        <v>0.111510808432752</v>
      </c>
      <c r="V90" s="16">
        <v>5.4342024927567</v>
      </c>
      <c r="W90" s="16">
        <v>-0.221806976509262</v>
      </c>
      <c r="X90" s="16">
        <v>0.227569128454126</v>
      </c>
      <c r="Y90" s="16">
        <v>-0.272178732960685</v>
      </c>
      <c r="Z90" s="16">
        <v>14.6093652507881</v>
      </c>
      <c r="AA90" s="16">
        <v>-0.377941386676415</v>
      </c>
      <c r="AB90" s="16">
        <v>3.58474836792388</v>
      </c>
      <c r="AC90" s="16">
        <v>-0.211030346320212</v>
      </c>
      <c r="AD90" s="16">
        <v>40.1667626893509</v>
      </c>
      <c r="AE90" s="16">
        <v>-0.421212710616868</v>
      </c>
      <c r="AF90" s="16">
        <v>836.441355014576</v>
      </c>
      <c r="AG90" s="16">
        <v>0.812875108739966</v>
      </c>
      <c r="AH90" s="20">
        <v>197.497426903252</v>
      </c>
      <c r="AI90" s="23">
        <v>-0.189813773982369</v>
      </c>
      <c r="AJ90" s="24">
        <v>65</v>
      </c>
      <c r="AK90" s="29">
        <v>2</v>
      </c>
      <c r="AL90" s="14">
        <v>1</v>
      </c>
      <c r="AM90" s="29">
        <v>3</v>
      </c>
      <c r="AN90" s="30">
        <v>50</v>
      </c>
      <c r="AO90" s="29">
        <v>1</v>
      </c>
      <c r="AP90" s="35">
        <v>65</v>
      </c>
      <c r="AQ90" s="35">
        <v>60</v>
      </c>
      <c r="AR90" s="35">
        <v>80</v>
      </c>
      <c r="AS90" s="35">
        <v>12</v>
      </c>
      <c r="AT90" s="35">
        <v>31</v>
      </c>
      <c r="AU90" s="35">
        <v>27</v>
      </c>
      <c r="AV90" s="35">
        <v>43.3333333333333</v>
      </c>
      <c r="AW90" s="35">
        <v>72.2222222222222</v>
      </c>
      <c r="AX90" s="35">
        <v>33.3333333333333</v>
      </c>
      <c r="AY90" s="35">
        <v>33.7606837606838</v>
      </c>
      <c r="AZ90" s="35">
        <v>54.9074074074074</v>
      </c>
      <c r="BA90" s="29" t="s">
        <v>74</v>
      </c>
      <c r="BB90" s="29">
        <v>0</v>
      </c>
      <c r="BC90" s="29">
        <v>0</v>
      </c>
      <c r="BD90" s="36">
        <v>0</v>
      </c>
      <c r="BE90" s="38">
        <v>554</v>
      </c>
      <c r="BF90" s="36">
        <f t="shared" si="1"/>
        <v>0</v>
      </c>
    </row>
    <row r="91" spans="1:58">
      <c r="A91" s="14" t="s">
        <v>167</v>
      </c>
      <c r="B91" s="14" t="s">
        <v>167</v>
      </c>
      <c r="C91" s="15" t="s">
        <v>73</v>
      </c>
      <c r="D91" s="16">
        <v>17.6182080818343</v>
      </c>
      <c r="E91" s="16">
        <v>-0.432557300935298</v>
      </c>
      <c r="F91" s="16">
        <v>21.4498443256264</v>
      </c>
      <c r="G91" s="16">
        <v>0.0322041157888634</v>
      </c>
      <c r="H91" s="16">
        <v>59.0297355432345</v>
      </c>
      <c r="I91" s="16">
        <v>0.321402499844794</v>
      </c>
      <c r="J91" s="16">
        <v>16.8948188218564</v>
      </c>
      <c r="K91" s="16">
        <v>0.0700122903062205</v>
      </c>
      <c r="L91" s="16">
        <v>3.51515762889863</v>
      </c>
      <c r="M91" s="16">
        <v>-0.141149722961389</v>
      </c>
      <c r="N91" s="16">
        <v>1.91048549315019</v>
      </c>
      <c r="O91" s="16">
        <v>-0.0683460506381119</v>
      </c>
      <c r="P91" s="16">
        <v>1.98912271058466</v>
      </c>
      <c r="Q91" s="16">
        <v>-0.544074799727161</v>
      </c>
      <c r="R91" s="16">
        <v>1.25233131646953</v>
      </c>
      <c r="S91" s="16">
        <v>-0.869457368266503</v>
      </c>
      <c r="T91" s="16">
        <v>17.2819211081647</v>
      </c>
      <c r="U91" s="16">
        <v>-0.352346705432311</v>
      </c>
      <c r="V91" s="16">
        <v>19.8045064181186</v>
      </c>
      <c r="W91" s="16">
        <v>0.00361624212791378</v>
      </c>
      <c r="X91" s="16">
        <v>2.3217718419928</v>
      </c>
      <c r="Y91" s="16">
        <v>-0.219431662115314</v>
      </c>
      <c r="Z91" s="16">
        <v>11.4111238563019</v>
      </c>
      <c r="AA91" s="16">
        <v>-0.673761392367761</v>
      </c>
      <c r="AB91" s="16">
        <v>5.10532662854886</v>
      </c>
      <c r="AC91" s="16">
        <v>-0.12377360159933</v>
      </c>
      <c r="AD91" s="16">
        <v>50.7066886363978</v>
      </c>
      <c r="AE91" s="16">
        <v>-0.0334938565386942</v>
      </c>
      <c r="AF91" s="16">
        <v>549.762634455558</v>
      </c>
      <c r="AG91" s="16">
        <v>-0.0481142162711269</v>
      </c>
      <c r="AH91" s="20">
        <v>64.1637683540806</v>
      </c>
      <c r="AI91" s="23">
        <v>-0.747986797859817</v>
      </c>
      <c r="AJ91" s="24">
        <v>54</v>
      </c>
      <c r="AK91" s="29">
        <v>1</v>
      </c>
      <c r="AL91" s="14">
        <v>2</v>
      </c>
      <c r="AM91" s="29">
        <v>1</v>
      </c>
      <c r="AN91" s="30">
        <v>0</v>
      </c>
      <c r="AO91" s="29">
        <v>3</v>
      </c>
      <c r="AP91" s="35">
        <v>50</v>
      </c>
      <c r="AQ91" s="35">
        <v>40</v>
      </c>
      <c r="AR91" s="35">
        <v>46.6666666666667</v>
      </c>
      <c r="AS91" s="35">
        <v>5</v>
      </c>
      <c r="AT91" s="35">
        <v>13</v>
      </c>
      <c r="AU91" s="35">
        <v>21</v>
      </c>
      <c r="AV91" s="35">
        <v>75</v>
      </c>
      <c r="AW91" s="35">
        <v>18.75</v>
      </c>
      <c r="AX91" s="35">
        <v>70.8333333333333</v>
      </c>
      <c r="AY91" s="35">
        <v>78.8461538461538</v>
      </c>
      <c r="AZ91" s="35">
        <v>27.7777777777778</v>
      </c>
      <c r="BA91" s="29" t="s">
        <v>74</v>
      </c>
      <c r="BB91" s="29">
        <v>0</v>
      </c>
      <c r="BC91" s="29">
        <v>0</v>
      </c>
      <c r="BD91" s="36">
        <v>0</v>
      </c>
      <c r="BE91" s="38">
        <v>493</v>
      </c>
      <c r="BF91" s="36">
        <f t="shared" si="1"/>
        <v>0</v>
      </c>
    </row>
    <row r="92" spans="1:58">
      <c r="A92" s="14" t="s">
        <v>168</v>
      </c>
      <c r="B92" s="14" t="s">
        <v>168</v>
      </c>
      <c r="C92" s="15" t="s">
        <v>73</v>
      </c>
      <c r="D92" s="16">
        <v>4.42088049727055</v>
      </c>
      <c r="E92" s="16">
        <v>-0.750517985195134</v>
      </c>
      <c r="F92" s="16">
        <v>16.1933729040271</v>
      </c>
      <c r="G92" s="16">
        <v>-0.0907742196408792</v>
      </c>
      <c r="H92" s="16">
        <v>37.9253751229736</v>
      </c>
      <c r="I92" s="16">
        <v>-0.415603891062004</v>
      </c>
      <c r="J92" s="16">
        <v>3.25939322994953</v>
      </c>
      <c r="K92" s="16">
        <v>-0.327079647938366</v>
      </c>
      <c r="L92" s="16">
        <v>2.17723068889567</v>
      </c>
      <c r="M92" s="16">
        <v>-0.249104791691992</v>
      </c>
      <c r="N92" s="16">
        <v>1.84817334062492</v>
      </c>
      <c r="O92" s="16">
        <v>-0.0983916336864645</v>
      </c>
      <c r="P92" s="16">
        <v>12.1339287085716</v>
      </c>
      <c r="Q92" s="16">
        <v>0.196507137577966</v>
      </c>
      <c r="R92" s="16">
        <v>3.96334136251204</v>
      </c>
      <c r="S92" s="16">
        <v>-0.223489177127539</v>
      </c>
      <c r="T92" s="16">
        <v>12.5034024763138</v>
      </c>
      <c r="U92" s="16">
        <v>-0.399118844071487</v>
      </c>
      <c r="V92" s="16">
        <v>7.86856153850314</v>
      </c>
      <c r="W92" s="16">
        <v>-0.183619819559701</v>
      </c>
      <c r="X92" s="16">
        <v>1.5617533063125</v>
      </c>
      <c r="Y92" s="16">
        <v>-0.238574389457876</v>
      </c>
      <c r="Z92" s="16">
        <v>20.4883478966378</v>
      </c>
      <c r="AA92" s="16">
        <v>0.165832664510854</v>
      </c>
      <c r="AB92" s="16">
        <v>3.08297221874608</v>
      </c>
      <c r="AC92" s="16">
        <v>-0.239824229864121</v>
      </c>
      <c r="AD92" s="16">
        <v>29.0330312304074</v>
      </c>
      <c r="AE92" s="16">
        <v>-0.83077513302508</v>
      </c>
      <c r="AF92" s="16">
        <v>360.303756139459</v>
      </c>
      <c r="AG92" s="16">
        <v>-0.617120773300026</v>
      </c>
      <c r="AH92" s="20">
        <v>211.895688504972</v>
      </c>
      <c r="AI92" s="23">
        <v>-0.129538511874814</v>
      </c>
      <c r="AJ92" s="24">
        <v>81</v>
      </c>
      <c r="AK92" s="29">
        <v>1</v>
      </c>
      <c r="AL92" s="14">
        <v>1</v>
      </c>
      <c r="AM92" s="29">
        <v>2</v>
      </c>
      <c r="AN92" s="30">
        <v>0</v>
      </c>
      <c r="AO92" s="29">
        <v>1</v>
      </c>
      <c r="AP92" s="35">
        <v>30</v>
      </c>
      <c r="AQ92" s="35">
        <v>0</v>
      </c>
      <c r="AR92" s="35">
        <v>33.3333333333333</v>
      </c>
      <c r="AS92" s="35">
        <v>3</v>
      </c>
      <c r="AT92" s="35">
        <v>6</v>
      </c>
      <c r="AU92" s="35">
        <v>18</v>
      </c>
      <c r="AV92" s="35">
        <v>98.3333333333333</v>
      </c>
      <c r="AW92" s="35">
        <v>14.5833333333333</v>
      </c>
      <c r="AX92" s="35">
        <v>50</v>
      </c>
      <c r="AY92" s="35">
        <v>90.3846153846154</v>
      </c>
      <c r="AZ92" s="35">
        <v>16.6666666666667</v>
      </c>
      <c r="BA92" s="29">
        <v>4</v>
      </c>
      <c r="BB92" s="29">
        <v>0</v>
      </c>
      <c r="BC92" s="29">
        <v>0</v>
      </c>
      <c r="BD92" s="36">
        <v>0</v>
      </c>
      <c r="BE92" s="38">
        <v>556</v>
      </c>
      <c r="BF92" s="36">
        <f t="shared" si="1"/>
        <v>0</v>
      </c>
    </row>
    <row r="93" spans="1:58">
      <c r="A93" s="14" t="s">
        <v>169</v>
      </c>
      <c r="B93" s="14" t="s">
        <v>169</v>
      </c>
      <c r="C93" s="15" t="s">
        <v>73</v>
      </c>
      <c r="D93" s="16">
        <v>0</v>
      </c>
      <c r="E93" s="16">
        <v>-0.857029411765105</v>
      </c>
      <c r="F93" s="16">
        <v>4.79221096625783</v>
      </c>
      <c r="G93" s="16">
        <v>-0.357511314664447</v>
      </c>
      <c r="H93" s="16">
        <v>45.7404938485753</v>
      </c>
      <c r="I93" s="16">
        <v>-0.142684345917473</v>
      </c>
      <c r="J93" s="16">
        <v>0</v>
      </c>
      <c r="K93" s="16">
        <v>-0.421999954345974</v>
      </c>
      <c r="L93" s="16">
        <v>0</v>
      </c>
      <c r="M93" s="16">
        <v>-0.424781864658015</v>
      </c>
      <c r="N93" s="16">
        <v>0.461432659600386</v>
      </c>
      <c r="O93" s="16">
        <v>-0.76704823773099</v>
      </c>
      <c r="P93" s="16">
        <v>0.849408207640185</v>
      </c>
      <c r="Q93" s="16">
        <v>-0.627275205405974</v>
      </c>
      <c r="R93" s="16">
        <v>6.6656259305978</v>
      </c>
      <c r="S93" s="16">
        <v>0.420399943437425</v>
      </c>
      <c r="T93" s="16">
        <v>1.25204532594828</v>
      </c>
      <c r="U93" s="16">
        <v>-0.509247123787317</v>
      </c>
      <c r="V93" s="16">
        <v>5.4342024927567</v>
      </c>
      <c r="W93" s="16">
        <v>-0.221806976509262</v>
      </c>
      <c r="X93" s="16">
        <v>0</v>
      </c>
      <c r="Y93" s="16">
        <v>-0.277910558663702</v>
      </c>
      <c r="Z93" s="16">
        <v>20.1914324443661</v>
      </c>
      <c r="AA93" s="16">
        <v>0.138369593420507</v>
      </c>
      <c r="AB93" s="16">
        <v>2.58434438615551</v>
      </c>
      <c r="AC93" s="16">
        <v>-0.26843745065369</v>
      </c>
      <c r="AD93" s="16">
        <v>37.4580590529764</v>
      </c>
      <c r="AE93" s="16">
        <v>-0.520854347114965</v>
      </c>
      <c r="AF93" s="16">
        <v>554.03640407274</v>
      </c>
      <c r="AG93" s="16">
        <v>-0.0352786977827817</v>
      </c>
      <c r="AH93" s="20">
        <v>331.134543468913</v>
      </c>
      <c r="AI93" s="23">
        <v>0.369629612386643</v>
      </c>
      <c r="AJ93" s="24">
        <v>68</v>
      </c>
      <c r="AK93" s="29">
        <v>1</v>
      </c>
      <c r="AL93" s="14">
        <v>1</v>
      </c>
      <c r="AM93" s="29">
        <v>3</v>
      </c>
      <c r="AN93" s="30">
        <v>80</v>
      </c>
      <c r="AO93" s="29">
        <v>1</v>
      </c>
      <c r="AP93" s="35">
        <v>41.25</v>
      </c>
      <c r="AQ93" s="35">
        <v>33.3333333333333</v>
      </c>
      <c r="AR93" s="35">
        <v>33.3333333333333</v>
      </c>
      <c r="AS93" s="35">
        <v>2</v>
      </c>
      <c r="AT93" s="35">
        <v>10</v>
      </c>
      <c r="AU93" s="35">
        <v>25</v>
      </c>
      <c r="AV93" s="35">
        <v>93.3333333333333</v>
      </c>
      <c r="AW93" s="35">
        <v>20.8333333333333</v>
      </c>
      <c r="AX93" s="35">
        <v>66.6666666666667</v>
      </c>
      <c r="AY93" s="35">
        <v>84.6153846153846</v>
      </c>
      <c r="AZ93" s="35">
        <v>33.3333333333333</v>
      </c>
      <c r="BA93" s="29" t="s">
        <v>79</v>
      </c>
      <c r="BB93" s="29">
        <v>0</v>
      </c>
      <c r="BC93" s="29">
        <v>1</v>
      </c>
      <c r="BD93" s="36">
        <v>0</v>
      </c>
      <c r="BE93" s="38">
        <v>539</v>
      </c>
      <c r="BF93" s="36">
        <f t="shared" si="1"/>
        <v>0</v>
      </c>
    </row>
    <row r="94" spans="1:58">
      <c r="A94" s="14" t="s">
        <v>170</v>
      </c>
      <c r="B94" s="14" t="s">
        <v>170</v>
      </c>
      <c r="C94" s="15" t="s">
        <v>73</v>
      </c>
      <c r="D94" s="16">
        <v>17.6182080818343</v>
      </c>
      <c r="E94" s="16">
        <v>-0.432557300935298</v>
      </c>
      <c r="F94" s="16">
        <v>7.82102631152199</v>
      </c>
      <c r="G94" s="16">
        <v>-0.286650343566212</v>
      </c>
      <c r="H94" s="16">
        <v>80.0063457363196</v>
      </c>
      <c r="I94" s="16">
        <v>1.05394759782475</v>
      </c>
      <c r="J94" s="16">
        <v>11.942008686993</v>
      </c>
      <c r="K94" s="16">
        <v>-0.0742238366084878</v>
      </c>
      <c r="L94" s="16">
        <v>1.24290537537375</v>
      </c>
      <c r="M94" s="16">
        <v>-0.324493925748727</v>
      </c>
      <c r="N94" s="16">
        <v>2.09718319816414</v>
      </c>
      <c r="O94" s="16">
        <v>0.0216755771440226</v>
      </c>
      <c r="P94" s="16">
        <v>15.9325961667661</v>
      </c>
      <c r="Q94" s="16">
        <v>0.473814018155659</v>
      </c>
      <c r="R94" s="16">
        <v>2.9198520198983</v>
      </c>
      <c r="S94" s="16">
        <v>-0.472127474910672</v>
      </c>
      <c r="T94" s="16">
        <v>23.1937907143496</v>
      </c>
      <c r="U94" s="16">
        <v>-0.294481327866521</v>
      </c>
      <c r="V94" s="16">
        <v>5.4342024927567</v>
      </c>
      <c r="W94" s="16">
        <v>-0.221806976509262</v>
      </c>
      <c r="X94" s="16">
        <v>2.3217718419928</v>
      </c>
      <c r="Y94" s="16">
        <v>-0.219431662115314</v>
      </c>
      <c r="Z94" s="16">
        <v>15.3902851146242</v>
      </c>
      <c r="AA94" s="16">
        <v>-0.305710529129906</v>
      </c>
      <c r="AB94" s="16">
        <v>12.2135923596763</v>
      </c>
      <c r="AC94" s="16">
        <v>0.284126566626311</v>
      </c>
      <c r="AD94" s="16">
        <v>56.7351996265879</v>
      </c>
      <c r="AE94" s="16">
        <v>0.188269311879873</v>
      </c>
      <c r="AF94" s="16">
        <v>590.240196407487</v>
      </c>
      <c r="AG94" s="16">
        <v>0.0734530513486244</v>
      </c>
      <c r="AH94" s="20">
        <v>193.648379514971</v>
      </c>
      <c r="AI94" s="23">
        <v>-0.205926992828547</v>
      </c>
      <c r="AJ94" s="24">
        <v>42</v>
      </c>
      <c r="AK94" s="29">
        <v>1</v>
      </c>
      <c r="AL94" s="14">
        <v>1</v>
      </c>
      <c r="AM94" s="29">
        <v>1</v>
      </c>
      <c r="AN94" s="30">
        <v>0</v>
      </c>
      <c r="AO94" s="29">
        <v>1</v>
      </c>
      <c r="AP94" s="35">
        <v>41.25</v>
      </c>
      <c r="AQ94" s="35">
        <v>30</v>
      </c>
      <c r="AR94" s="35">
        <v>40</v>
      </c>
      <c r="AS94" s="35">
        <v>15</v>
      </c>
      <c r="AT94" s="35">
        <v>37</v>
      </c>
      <c r="AU94" s="35">
        <v>25</v>
      </c>
      <c r="AV94" s="35">
        <v>38.3333333333333</v>
      </c>
      <c r="AW94" s="35">
        <v>47.9166666666667</v>
      </c>
      <c r="AX94" s="35">
        <v>16.6666666666667</v>
      </c>
      <c r="AY94" s="35">
        <v>46.7948717948718</v>
      </c>
      <c r="AZ94" s="35">
        <v>61.1111111111111</v>
      </c>
      <c r="BA94" s="29" t="s">
        <v>171</v>
      </c>
      <c r="BB94" s="29">
        <v>1</v>
      </c>
      <c r="BC94" s="29">
        <v>1</v>
      </c>
      <c r="BD94" s="36">
        <v>1</v>
      </c>
      <c r="BE94" s="38">
        <v>78</v>
      </c>
      <c r="BF94" s="36">
        <f t="shared" si="1"/>
        <v>1</v>
      </c>
    </row>
    <row r="95" spans="1:58">
      <c r="A95" s="14" t="s">
        <v>172</v>
      </c>
      <c r="B95" s="14" t="s">
        <v>172</v>
      </c>
      <c r="C95" s="15" t="s">
        <v>73</v>
      </c>
      <c r="D95" s="16">
        <v>38.2471850708407</v>
      </c>
      <c r="E95" s="16">
        <v>0.0644526881686224</v>
      </c>
      <c r="F95" s="16">
        <v>24.0140297151407</v>
      </c>
      <c r="G95" s="16">
        <v>0.0921947874093687</v>
      </c>
      <c r="H95" s="16">
        <v>58.882981850273</v>
      </c>
      <c r="I95" s="16">
        <v>0.316277567961146</v>
      </c>
      <c r="J95" s="16">
        <v>58.8968727882536</v>
      </c>
      <c r="K95" s="16">
        <v>1.29319941470884</v>
      </c>
      <c r="L95" s="16">
        <v>22.3462353028781</v>
      </c>
      <c r="M95" s="16">
        <v>1.37829818094378</v>
      </c>
      <c r="N95" s="16">
        <v>2.09718319816414</v>
      </c>
      <c r="O95" s="16">
        <v>0.0216755771440226</v>
      </c>
      <c r="P95" s="16">
        <v>13.8389001986025</v>
      </c>
      <c r="Q95" s="16">
        <v>0.320971921762863</v>
      </c>
      <c r="R95" s="16">
        <v>8.5512788153127</v>
      </c>
      <c r="S95" s="16">
        <v>0.86970546513159</v>
      </c>
      <c r="T95" s="16">
        <v>103.143632200828</v>
      </c>
      <c r="U95" s="16">
        <v>0.488067691668704</v>
      </c>
      <c r="V95" s="16">
        <v>28.9198359636105</v>
      </c>
      <c r="W95" s="16">
        <v>0.146606044971042</v>
      </c>
      <c r="X95" s="16">
        <v>12.6087632754628</v>
      </c>
      <c r="Y95" s="16">
        <v>0.0396686926015847</v>
      </c>
      <c r="Z95" s="16">
        <v>18.2774731953426</v>
      </c>
      <c r="AA95" s="16">
        <v>-0.0386612701394629</v>
      </c>
      <c r="AB95" s="16">
        <v>12.9181015518217</v>
      </c>
      <c r="AC95" s="16">
        <v>0.324554067350463</v>
      </c>
      <c r="AD95" s="16">
        <v>39.2638065268235</v>
      </c>
      <c r="AE95" s="16">
        <v>-0.454428610840156</v>
      </c>
      <c r="AF95" s="16">
        <v>760.09143471738</v>
      </c>
      <c r="AG95" s="16">
        <v>0.583571495925074</v>
      </c>
      <c r="AH95" s="20">
        <v>77.4594056997097</v>
      </c>
      <c r="AI95" s="23">
        <v>-0.6923274378577</v>
      </c>
      <c r="AJ95" s="24">
        <v>43</v>
      </c>
      <c r="AK95" s="29">
        <v>2</v>
      </c>
      <c r="AL95" s="14">
        <v>2</v>
      </c>
      <c r="AM95" s="29">
        <v>2</v>
      </c>
      <c r="AN95" s="30">
        <v>1</v>
      </c>
      <c r="AO95" s="29">
        <v>3</v>
      </c>
      <c r="AP95" s="35">
        <v>63.625</v>
      </c>
      <c r="AQ95" s="35">
        <v>47.6666666666667</v>
      </c>
      <c r="AR95" s="35">
        <v>79.6666666666667</v>
      </c>
      <c r="AS95" s="35">
        <v>20</v>
      </c>
      <c r="AT95" s="35">
        <v>30</v>
      </c>
      <c r="AU95" s="35">
        <v>27</v>
      </c>
      <c r="AV95" s="35">
        <v>62</v>
      </c>
      <c r="AW95" s="35">
        <v>43.75</v>
      </c>
      <c r="AX95" s="35">
        <v>16.6666666666667</v>
      </c>
      <c r="AY95" s="35">
        <v>58.4615384615385</v>
      </c>
      <c r="AZ95" s="35">
        <v>44.8765432098765</v>
      </c>
      <c r="BA95" s="29" t="s">
        <v>82</v>
      </c>
      <c r="BB95" s="29">
        <v>1</v>
      </c>
      <c r="BC95" s="29">
        <v>1</v>
      </c>
      <c r="BD95" s="36">
        <v>1</v>
      </c>
      <c r="BE95" s="38">
        <v>593</v>
      </c>
      <c r="BF95" s="36">
        <f t="shared" si="1"/>
        <v>1</v>
      </c>
    </row>
    <row r="96" spans="1:58">
      <c r="A96" s="14" t="s">
        <v>173</v>
      </c>
      <c r="B96" s="14" t="s">
        <v>173</v>
      </c>
      <c r="C96" s="15" t="s">
        <v>73</v>
      </c>
      <c r="D96" s="16">
        <v>7.58969557583394</v>
      </c>
      <c r="E96" s="16">
        <v>-0.674172330802847</v>
      </c>
      <c r="F96" s="16">
        <v>10.7014439888995</v>
      </c>
      <c r="G96" s="16">
        <v>-0.219261225868219</v>
      </c>
      <c r="H96" s="16">
        <v>67.1232184807622</v>
      </c>
      <c r="I96" s="16">
        <v>0.604043078894349</v>
      </c>
      <c r="J96" s="16">
        <v>7.60401819965557</v>
      </c>
      <c r="K96" s="16">
        <v>-0.200555137314336</v>
      </c>
      <c r="L96" s="16">
        <v>1.71591364288296</v>
      </c>
      <c r="M96" s="16">
        <v>-0.286327686246152</v>
      </c>
      <c r="N96" s="16">
        <v>2.34560602435923</v>
      </c>
      <c r="O96" s="16">
        <v>0.141459734055053</v>
      </c>
      <c r="P96" s="16">
        <v>2.09550543557966</v>
      </c>
      <c r="Q96" s="16">
        <v>-0.536308744408979</v>
      </c>
      <c r="R96" s="16">
        <v>3.57899543093574</v>
      </c>
      <c r="S96" s="16">
        <v>-0.315069526139668</v>
      </c>
      <c r="T96" s="16">
        <v>20.6035650114103</v>
      </c>
      <c r="U96" s="16">
        <v>-0.31983445610947</v>
      </c>
      <c r="V96" s="16">
        <v>11.6280844270491</v>
      </c>
      <c r="W96" s="16">
        <v>-0.124645162205346</v>
      </c>
      <c r="X96" s="16">
        <v>4.56875424524768</v>
      </c>
      <c r="Y96" s="16">
        <v>-0.16283650098475</v>
      </c>
      <c r="Z96" s="16">
        <v>13.6241488104025</v>
      </c>
      <c r="AA96" s="16">
        <v>-0.469068570979805</v>
      </c>
      <c r="AB96" s="16">
        <v>9.76096832179429</v>
      </c>
      <c r="AC96" s="16">
        <v>0.143385379466494</v>
      </c>
      <c r="AD96" s="16">
        <v>41.9728610397834</v>
      </c>
      <c r="AE96" s="16">
        <v>-0.354774067091259</v>
      </c>
      <c r="AF96" s="16">
        <v>233.309768850377</v>
      </c>
      <c r="AG96" s="16">
        <v>-0.998524970944282</v>
      </c>
      <c r="AH96" s="20">
        <v>129.427432377745</v>
      </c>
      <c r="AI96" s="23">
        <v>-0.474774339026879</v>
      </c>
      <c r="AJ96" s="24">
        <v>71</v>
      </c>
      <c r="AK96" s="29">
        <v>2</v>
      </c>
      <c r="AL96" s="14">
        <v>1</v>
      </c>
      <c r="AM96" s="29">
        <v>1</v>
      </c>
      <c r="AN96" s="30">
        <v>0</v>
      </c>
      <c r="AO96" s="29">
        <v>1</v>
      </c>
      <c r="AP96" s="35">
        <v>66.25</v>
      </c>
      <c r="AQ96" s="35">
        <v>61.6666666666667</v>
      </c>
      <c r="AR96" s="35">
        <v>56.6666666666667</v>
      </c>
      <c r="AS96" s="35">
        <v>28</v>
      </c>
      <c r="AT96" s="35">
        <v>36</v>
      </c>
      <c r="AU96" s="35">
        <v>33</v>
      </c>
      <c r="AV96" s="35">
        <v>22</v>
      </c>
      <c r="AW96" s="35">
        <v>34.7222222222222</v>
      </c>
      <c r="AX96" s="35">
        <v>58.3333333333333</v>
      </c>
      <c r="AY96" s="35">
        <v>48.6324786324786</v>
      </c>
      <c r="AZ96" s="35">
        <v>58.3333333333333</v>
      </c>
      <c r="BA96" s="29">
        <v>4</v>
      </c>
      <c r="BB96" s="29">
        <v>1</v>
      </c>
      <c r="BC96" s="29">
        <v>1</v>
      </c>
      <c r="BD96" s="36">
        <v>1</v>
      </c>
      <c r="BE96" s="38">
        <v>82</v>
      </c>
      <c r="BF96" s="36">
        <f t="shared" si="1"/>
        <v>1</v>
      </c>
    </row>
    <row r="97" spans="1:58">
      <c r="A97" s="14" t="s">
        <v>174</v>
      </c>
      <c r="B97" s="14" t="s">
        <v>174</v>
      </c>
      <c r="C97" s="15" t="s">
        <v>73</v>
      </c>
      <c r="D97" s="16">
        <v>29.0046922640095</v>
      </c>
      <c r="E97" s="16">
        <v>-0.158224919725568</v>
      </c>
      <c r="F97" s="16">
        <v>4.79221096625783</v>
      </c>
      <c r="G97" s="16">
        <v>-0.357511314664447</v>
      </c>
      <c r="H97" s="16">
        <v>81.3442441176188</v>
      </c>
      <c r="I97" s="16">
        <v>1.10066967979104</v>
      </c>
      <c r="J97" s="16">
        <v>26.7901791522708</v>
      </c>
      <c r="K97" s="16">
        <v>0.358185753374735</v>
      </c>
      <c r="L97" s="16">
        <v>12.4887654834049</v>
      </c>
      <c r="M97" s="16">
        <v>0.582915563213768</v>
      </c>
      <c r="N97" s="16">
        <v>2.22146307102693</v>
      </c>
      <c r="O97" s="16">
        <v>0.0816006654295436</v>
      </c>
      <c r="P97" s="16">
        <v>1.77752716420109</v>
      </c>
      <c r="Q97" s="16">
        <v>-0.559521506120263</v>
      </c>
      <c r="R97" s="16">
        <v>2.51927380231453</v>
      </c>
      <c r="S97" s="16">
        <v>-0.567575585477431</v>
      </c>
      <c r="T97" s="16">
        <v>73.2300476559814</v>
      </c>
      <c r="U97" s="16">
        <v>0.195273536969688</v>
      </c>
      <c r="V97" s="16">
        <v>25.1467240674864</v>
      </c>
      <c r="W97" s="16">
        <v>0.0874182203905613</v>
      </c>
      <c r="X97" s="16">
        <v>5.1419871059266</v>
      </c>
      <c r="Y97" s="16">
        <v>-0.14839837896454</v>
      </c>
      <c r="Z97" s="16">
        <v>7.17306210174173</v>
      </c>
      <c r="AA97" s="16">
        <v>-1.06575914917113</v>
      </c>
      <c r="AB97" s="16">
        <v>5.95817774642737</v>
      </c>
      <c r="AC97" s="16">
        <v>-0.0748336593387733</v>
      </c>
      <c r="AD97" s="16">
        <v>50.7066886363978</v>
      </c>
      <c r="AE97" s="16">
        <v>-0.0334938565386942</v>
      </c>
      <c r="AF97" s="16">
        <v>489.584903916932</v>
      </c>
      <c r="AG97" s="16">
        <v>-0.228847489728319</v>
      </c>
      <c r="AH97" s="20">
        <v>121.530615704091</v>
      </c>
      <c r="AI97" s="23">
        <v>-0.507832683706694</v>
      </c>
      <c r="AJ97" s="24">
        <v>23</v>
      </c>
      <c r="AK97" s="29">
        <v>1</v>
      </c>
      <c r="AL97" s="14">
        <v>1</v>
      </c>
      <c r="AM97" s="29">
        <v>1</v>
      </c>
      <c r="AN97" s="30">
        <v>0</v>
      </c>
      <c r="AO97" s="29">
        <v>3</v>
      </c>
      <c r="AP97" s="35">
        <v>88.125</v>
      </c>
      <c r="AQ97" s="35">
        <v>85</v>
      </c>
      <c r="AR97" s="35">
        <v>90</v>
      </c>
      <c r="AS97" s="35">
        <v>15</v>
      </c>
      <c r="AT97" s="35">
        <v>33</v>
      </c>
      <c r="AU97" s="35">
        <v>28</v>
      </c>
      <c r="AV97" s="35">
        <v>83.3333333333333</v>
      </c>
      <c r="AW97" s="35">
        <v>34.7222222222222</v>
      </c>
      <c r="AX97" s="35">
        <v>66.6666666666667</v>
      </c>
      <c r="AY97" s="35">
        <v>72.2222222222222</v>
      </c>
      <c r="AZ97" s="35">
        <v>37.037037037037</v>
      </c>
      <c r="BA97" s="29">
        <v>4</v>
      </c>
      <c r="BB97" s="29">
        <v>1</v>
      </c>
      <c r="BC97" s="29">
        <v>1</v>
      </c>
      <c r="BD97" s="36">
        <v>1</v>
      </c>
      <c r="BE97" s="38">
        <v>256</v>
      </c>
      <c r="BF97" s="36">
        <f t="shared" si="1"/>
        <v>1</v>
      </c>
    </row>
    <row r="98" spans="1:58">
      <c r="A98" s="14" t="s">
        <v>175</v>
      </c>
      <c r="B98" s="14" t="s">
        <v>175</v>
      </c>
      <c r="C98" s="15" t="s">
        <v>73</v>
      </c>
      <c r="D98" s="16">
        <v>0</v>
      </c>
      <c r="E98" s="16">
        <v>-0.857029411765105</v>
      </c>
      <c r="F98" s="16">
        <v>1.46062818271764</v>
      </c>
      <c r="G98" s="16">
        <v>-0.435455713521562</v>
      </c>
      <c r="H98" s="16">
        <v>28.1774231031542</v>
      </c>
      <c r="I98" s="16">
        <v>-0.756021832842536</v>
      </c>
      <c r="J98" s="16">
        <v>0</v>
      </c>
      <c r="K98" s="16">
        <v>-0.421999954345974</v>
      </c>
      <c r="L98" s="16">
        <v>0</v>
      </c>
      <c r="M98" s="16">
        <v>-0.424781864658015</v>
      </c>
      <c r="N98" s="16">
        <v>0.202643991491173</v>
      </c>
      <c r="O98" s="16">
        <v>-0.891830581215187</v>
      </c>
      <c r="P98" s="16">
        <v>2.52457834802223</v>
      </c>
      <c r="Q98" s="16">
        <v>-0.504985952351158</v>
      </c>
      <c r="R98" s="16">
        <v>4.55778434302872</v>
      </c>
      <c r="S98" s="16">
        <v>-0.0818477776719529</v>
      </c>
      <c r="T98" s="16">
        <v>56.149094041886</v>
      </c>
      <c r="U98" s="16">
        <v>0.0280851691766425</v>
      </c>
      <c r="V98" s="16">
        <v>0</v>
      </c>
      <c r="W98" s="16">
        <v>-0.307051897076419</v>
      </c>
      <c r="X98" s="16">
        <v>0</v>
      </c>
      <c r="Y98" s="16">
        <v>-0.277910558663702</v>
      </c>
      <c r="Z98" s="16">
        <v>20.2656010783583</v>
      </c>
      <c r="AA98" s="16">
        <v>0.145229790329821</v>
      </c>
      <c r="AB98" s="16">
        <v>0.327764009072346</v>
      </c>
      <c r="AC98" s="16">
        <v>-0.397928883619704</v>
      </c>
      <c r="AD98" s="16">
        <v>40.4677613544761</v>
      </c>
      <c r="AE98" s="16">
        <v>-0.410140255448993</v>
      </c>
      <c r="AF98" s="16">
        <v>393.537329938066</v>
      </c>
      <c r="AG98" s="16">
        <v>-0.517309555303892</v>
      </c>
      <c r="AH98" s="20">
        <v>1003.99310477642</v>
      </c>
      <c r="AI98" s="23">
        <v>3.18640897547849</v>
      </c>
      <c r="AJ98" s="24">
        <v>81</v>
      </c>
      <c r="AK98" s="29">
        <v>2</v>
      </c>
      <c r="AL98" s="14">
        <v>1</v>
      </c>
      <c r="AM98" s="29">
        <v>1</v>
      </c>
      <c r="AN98" s="30">
        <v>0</v>
      </c>
      <c r="AO98" s="29">
        <v>1</v>
      </c>
      <c r="AP98" s="35">
        <v>40</v>
      </c>
      <c r="AQ98" s="35">
        <v>40</v>
      </c>
      <c r="AR98" s="35">
        <v>66.6666666666667</v>
      </c>
      <c r="AS98" s="35">
        <v>4</v>
      </c>
      <c r="AT98" s="35">
        <v>13</v>
      </c>
      <c r="AU98" s="35">
        <v>26</v>
      </c>
      <c r="AV98" s="35">
        <v>85</v>
      </c>
      <c r="AW98" s="35">
        <v>22.9166666666667</v>
      </c>
      <c r="AX98" s="35">
        <v>50</v>
      </c>
      <c r="AY98" s="35">
        <v>80.1282051282051</v>
      </c>
      <c r="AZ98" s="35">
        <v>39.5833333333333</v>
      </c>
      <c r="BA98" s="29">
        <v>1</v>
      </c>
      <c r="BB98" s="29">
        <v>0</v>
      </c>
      <c r="BC98" s="29">
        <v>0</v>
      </c>
      <c r="BD98" s="36">
        <v>0</v>
      </c>
      <c r="BE98" s="38">
        <v>501</v>
      </c>
      <c r="BF98" s="36">
        <f t="shared" si="1"/>
        <v>0</v>
      </c>
    </row>
    <row r="99" spans="1:58">
      <c r="A99" s="14" t="s">
        <v>176</v>
      </c>
      <c r="B99" s="14" t="s">
        <v>176</v>
      </c>
      <c r="C99" s="15" t="s">
        <v>73</v>
      </c>
      <c r="D99" s="20">
        <v>0</v>
      </c>
      <c r="E99" s="20">
        <v>-0.857029411765105</v>
      </c>
      <c r="F99" s="20">
        <v>0</v>
      </c>
      <c r="G99" s="20">
        <v>-0.469627995302509</v>
      </c>
      <c r="H99" s="20">
        <v>57.123107598133</v>
      </c>
      <c r="I99" s="20">
        <v>0.254819246306712</v>
      </c>
      <c r="J99" s="20">
        <v>0</v>
      </c>
      <c r="K99" s="20">
        <v>-0.421999954345974</v>
      </c>
      <c r="L99" s="20">
        <v>0</v>
      </c>
      <c r="M99" s="20">
        <v>-0.424781864658015</v>
      </c>
      <c r="N99" s="20">
        <v>1.47334667037419</v>
      </c>
      <c r="O99" s="20">
        <v>-0.279125012222676</v>
      </c>
      <c r="P99" s="20">
        <v>0.950132061846434</v>
      </c>
      <c r="Q99" s="20">
        <v>-0.619922253846752</v>
      </c>
      <c r="R99" s="20">
        <v>3.93763285006107</v>
      </c>
      <c r="S99" s="20">
        <v>-0.229614894481139</v>
      </c>
      <c r="T99" s="20">
        <v>7.38905107604073</v>
      </c>
      <c r="U99" s="20">
        <v>-0.449178113726439</v>
      </c>
      <c r="V99" s="20">
        <v>0</v>
      </c>
      <c r="W99" s="16">
        <v>-0.307051897076419</v>
      </c>
      <c r="X99" s="16">
        <v>0</v>
      </c>
      <c r="Y99" s="16">
        <v>-0.277910558663702</v>
      </c>
      <c r="Z99" s="16">
        <v>16.6805527116115</v>
      </c>
      <c r="AA99" s="16">
        <v>-0.186367765152749</v>
      </c>
      <c r="AB99" s="16">
        <v>1.27520648244511</v>
      </c>
      <c r="AC99" s="16">
        <v>-0.343560918367571</v>
      </c>
      <c r="AD99" s="16">
        <v>38.0599519976331</v>
      </c>
      <c r="AE99" s="16">
        <v>-0.498713276679321</v>
      </c>
      <c r="AF99" s="16">
        <v>384.701981127631</v>
      </c>
      <c r="AG99" s="16">
        <v>-0.543844977932053</v>
      </c>
      <c r="AH99" s="20">
        <v>718.829071443275</v>
      </c>
      <c r="AI99" s="23">
        <v>1.99263035634646</v>
      </c>
      <c r="AJ99" s="24">
        <v>73</v>
      </c>
      <c r="AK99" s="29">
        <v>1</v>
      </c>
      <c r="AL99" s="14">
        <v>1</v>
      </c>
      <c r="AM99" s="29">
        <v>1</v>
      </c>
      <c r="AN99" s="30">
        <v>0</v>
      </c>
      <c r="AO99" s="29">
        <v>3</v>
      </c>
      <c r="AP99" s="35">
        <v>72.5</v>
      </c>
      <c r="AQ99" s="35">
        <v>80</v>
      </c>
      <c r="AR99" s="35">
        <v>80</v>
      </c>
      <c r="AS99" s="35">
        <v>8</v>
      </c>
      <c r="AT99" s="35">
        <v>24</v>
      </c>
      <c r="AU99" s="35">
        <v>25</v>
      </c>
      <c r="AV99" s="35">
        <v>73.3333333333333</v>
      </c>
      <c r="AW99" s="35">
        <v>44.4444444444444</v>
      </c>
      <c r="AX99" s="35">
        <v>33.3333333333333</v>
      </c>
      <c r="AY99" s="35">
        <v>62.3931623931624</v>
      </c>
      <c r="AZ99" s="35">
        <v>53.9814814814815</v>
      </c>
      <c r="BA99" s="29">
        <v>4</v>
      </c>
      <c r="BB99" s="29">
        <v>1</v>
      </c>
      <c r="BC99" s="29">
        <v>1</v>
      </c>
      <c r="BD99" s="36">
        <v>0</v>
      </c>
      <c r="BE99" s="38">
        <v>421</v>
      </c>
      <c r="BF99" s="36">
        <f t="shared" si="1"/>
        <v>0</v>
      </c>
    </row>
    <row r="100" spans="1:58">
      <c r="A100" s="14" t="s">
        <v>177</v>
      </c>
      <c r="B100" s="14" t="s">
        <v>177</v>
      </c>
      <c r="C100" s="15" t="s">
        <v>73</v>
      </c>
      <c r="D100" s="16">
        <v>4.42088049727055</v>
      </c>
      <c r="E100" s="16">
        <v>-0.750517985195134</v>
      </c>
      <c r="F100" s="16">
        <v>1.46062818271764</v>
      </c>
      <c r="G100" s="16">
        <v>-0.435455713521562</v>
      </c>
      <c r="H100" s="16">
        <v>24.6251517124646</v>
      </c>
      <c r="I100" s="16">
        <v>-0.88007424026163</v>
      </c>
      <c r="J100" s="16">
        <v>0</v>
      </c>
      <c r="K100" s="16">
        <v>-0.421999954345974</v>
      </c>
      <c r="L100" s="16">
        <v>0</v>
      </c>
      <c r="M100" s="16">
        <v>-0.424781864658015</v>
      </c>
      <c r="N100" s="16">
        <v>0.202643991491173</v>
      </c>
      <c r="O100" s="16">
        <v>-0.891830581215187</v>
      </c>
      <c r="P100" s="16">
        <v>4.23030403355155</v>
      </c>
      <c r="Q100" s="16">
        <v>-0.38046611106971</v>
      </c>
      <c r="R100" s="16">
        <v>1.6112375937232</v>
      </c>
      <c r="S100" s="16">
        <v>-0.783938674212081</v>
      </c>
      <c r="T100" s="16">
        <v>29.1342538199264</v>
      </c>
      <c r="U100" s="16">
        <v>-0.236336077139032</v>
      </c>
      <c r="V100" s="16">
        <v>0</v>
      </c>
      <c r="W100" s="16">
        <v>-0.307051897076419</v>
      </c>
      <c r="X100" s="16">
        <v>0</v>
      </c>
      <c r="Y100" s="16">
        <v>-0.277910558663702</v>
      </c>
      <c r="Z100" s="16">
        <v>10.9347105985344</v>
      </c>
      <c r="AA100" s="16">
        <v>-0.717827038215252</v>
      </c>
      <c r="AB100" s="16">
        <v>0.327764009072346</v>
      </c>
      <c r="AC100" s="16">
        <v>-0.397928883619704</v>
      </c>
      <c r="AD100" s="16">
        <v>30.838279909783</v>
      </c>
      <c r="AE100" s="16">
        <v>-0.764367745268266</v>
      </c>
      <c r="AF100" s="16">
        <v>251.790270803439</v>
      </c>
      <c r="AG100" s="16">
        <v>-0.943022020214608</v>
      </c>
      <c r="AH100" s="20">
        <v>163.666090653983</v>
      </c>
      <c r="AI100" s="23">
        <v>-0.331441472956107</v>
      </c>
      <c r="AJ100" s="24">
        <v>83</v>
      </c>
      <c r="AK100" s="29">
        <v>1</v>
      </c>
      <c r="AL100" s="14">
        <v>1</v>
      </c>
      <c r="AM100" s="29">
        <v>1</v>
      </c>
      <c r="AN100" s="30">
        <v>0</v>
      </c>
      <c r="AO100" s="29">
        <v>2</v>
      </c>
      <c r="AP100" s="35">
        <v>52.5</v>
      </c>
      <c r="AQ100" s="35">
        <v>80</v>
      </c>
      <c r="AR100" s="35">
        <v>33.3333333333333</v>
      </c>
      <c r="AS100" s="35">
        <v>0</v>
      </c>
      <c r="AT100" s="35">
        <v>11</v>
      </c>
      <c r="AU100" s="35">
        <v>26</v>
      </c>
      <c r="AV100" s="35">
        <v>66.6666666666667</v>
      </c>
      <c r="AW100" s="35">
        <v>22.2222222222222</v>
      </c>
      <c r="AX100" s="35">
        <v>41.6666666666667</v>
      </c>
      <c r="AY100" s="35">
        <v>73.5042735042735</v>
      </c>
      <c r="AZ100" s="35">
        <v>57.7450980392157</v>
      </c>
      <c r="BA100" s="29">
        <v>4</v>
      </c>
      <c r="BB100" s="29">
        <v>1</v>
      </c>
      <c r="BC100" s="29">
        <v>1</v>
      </c>
      <c r="BD100" s="37">
        <v>1</v>
      </c>
      <c r="BE100" s="38">
        <v>253</v>
      </c>
      <c r="BF100" s="36">
        <f t="shared" si="1"/>
        <v>1</v>
      </c>
    </row>
    <row r="101" spans="1:58">
      <c r="A101" s="14" t="s">
        <v>178</v>
      </c>
      <c r="B101" s="14" t="s">
        <v>178</v>
      </c>
      <c r="C101" s="15" t="s">
        <v>73</v>
      </c>
      <c r="D101" s="16">
        <v>0</v>
      </c>
      <c r="E101" s="16">
        <v>-0.857029411765105</v>
      </c>
      <c r="F101" s="16">
        <v>10.7014439888995</v>
      </c>
      <c r="G101" s="16">
        <v>-0.219261225868219</v>
      </c>
      <c r="H101" s="16">
        <v>21.9388665655121</v>
      </c>
      <c r="I101" s="16">
        <v>-0.973884679511015</v>
      </c>
      <c r="J101" s="16">
        <v>5.74311682330332</v>
      </c>
      <c r="K101" s="16">
        <v>-0.254748453792578</v>
      </c>
      <c r="L101" s="16">
        <v>1.48112923307197</v>
      </c>
      <c r="M101" s="16">
        <v>-0.305272044372286</v>
      </c>
      <c r="N101" s="16">
        <v>0.525532608744979</v>
      </c>
      <c r="O101" s="16">
        <v>-0.73614061750975</v>
      </c>
      <c r="P101" s="16">
        <v>2.84975548506595</v>
      </c>
      <c r="Q101" s="16">
        <v>-0.481247665570025</v>
      </c>
      <c r="R101" s="16">
        <v>3.40061303528074</v>
      </c>
      <c r="S101" s="16">
        <v>-0.357573740987749</v>
      </c>
      <c r="T101" s="16">
        <v>8.11723273660107</v>
      </c>
      <c r="U101" s="16">
        <v>-0.442050671896409</v>
      </c>
      <c r="V101" s="16">
        <v>16.0734849665403</v>
      </c>
      <c r="W101" s="16">
        <v>-0.0549113206005792</v>
      </c>
      <c r="X101" s="16">
        <v>1.94727520778071</v>
      </c>
      <c r="Y101" s="16">
        <v>-0.228864178064432</v>
      </c>
      <c r="Z101" s="16">
        <v>47.3226069318858</v>
      </c>
      <c r="AA101" s="16">
        <v>2.6478562773049</v>
      </c>
      <c r="AB101" s="16">
        <v>3.58474836792388</v>
      </c>
      <c r="AC101" s="16">
        <v>-0.211030346320212</v>
      </c>
      <c r="AD101" s="16">
        <v>38.6618673724643</v>
      </c>
      <c r="AE101" s="16">
        <v>-0.476571381133369</v>
      </c>
      <c r="AF101" s="16">
        <v>286.104948439678</v>
      </c>
      <c r="AG101" s="16">
        <v>-0.83996389619903</v>
      </c>
      <c r="AH101" s="20">
        <v>46.4958766883763</v>
      </c>
      <c r="AI101" s="23">
        <v>-0.821949671329973</v>
      </c>
      <c r="AJ101" s="24">
        <v>78</v>
      </c>
      <c r="AK101" s="29">
        <v>1</v>
      </c>
      <c r="AL101" s="14">
        <v>1</v>
      </c>
      <c r="AM101" s="29">
        <v>2</v>
      </c>
      <c r="AN101" s="30">
        <v>30</v>
      </c>
      <c r="AO101" s="29">
        <v>1</v>
      </c>
      <c r="AP101" s="35">
        <v>30.625</v>
      </c>
      <c r="AQ101" s="35">
        <v>0</v>
      </c>
      <c r="AR101" s="35">
        <v>60</v>
      </c>
      <c r="AS101" s="35">
        <v>2</v>
      </c>
      <c r="AT101" s="35">
        <v>20</v>
      </c>
      <c r="AU101" s="35">
        <v>29</v>
      </c>
      <c r="AV101" s="35">
        <v>88.3333333333333</v>
      </c>
      <c r="AW101" s="35">
        <v>25</v>
      </c>
      <c r="AX101" s="35">
        <v>41.6666666666667</v>
      </c>
      <c r="AY101" s="35">
        <v>80.1282051282052</v>
      </c>
      <c r="AZ101" s="35">
        <v>33.3333333333333</v>
      </c>
      <c r="BA101" s="29" t="s">
        <v>171</v>
      </c>
      <c r="BB101" s="29">
        <v>0</v>
      </c>
      <c r="BC101" s="29">
        <v>1</v>
      </c>
      <c r="BD101" s="36">
        <v>1</v>
      </c>
      <c r="BE101" s="38">
        <v>165</v>
      </c>
      <c r="BF101" s="36">
        <f t="shared" si="1"/>
        <v>1</v>
      </c>
    </row>
    <row r="102" spans="1:58">
      <c r="A102" s="14" t="s">
        <v>179</v>
      </c>
      <c r="B102" s="14" t="s">
        <v>179</v>
      </c>
      <c r="C102" s="15" t="s">
        <v>73</v>
      </c>
      <c r="D102" s="16">
        <v>4.42088049727055</v>
      </c>
      <c r="E102" s="16">
        <v>-0.750517985195134</v>
      </c>
      <c r="F102" s="16">
        <v>0</v>
      </c>
      <c r="G102" s="16">
        <v>-0.469627995302509</v>
      </c>
      <c r="H102" s="16">
        <v>68.8945644380888</v>
      </c>
      <c r="I102" s="16">
        <v>0.665902015391818</v>
      </c>
      <c r="J102" s="16">
        <v>5.74311682330332</v>
      </c>
      <c r="K102" s="16">
        <v>-0.254748453792578</v>
      </c>
      <c r="L102" s="16">
        <v>2.17723068889567</v>
      </c>
      <c r="M102" s="16">
        <v>-0.249104791691992</v>
      </c>
      <c r="N102" s="16">
        <v>1.84817334062492</v>
      </c>
      <c r="O102" s="16">
        <v>-0.0983916336864645</v>
      </c>
      <c r="P102" s="16">
        <v>12.619191746163</v>
      </c>
      <c r="Q102" s="16">
        <v>0.231931870249377</v>
      </c>
      <c r="R102" s="16">
        <v>13.3347035134309</v>
      </c>
      <c r="S102" s="16">
        <v>2.00947999462974</v>
      </c>
      <c r="T102" s="16">
        <v>51.9952857728319</v>
      </c>
      <c r="U102" s="16">
        <v>-0.0125723046575659</v>
      </c>
      <c r="V102" s="16">
        <v>22.0458689934625</v>
      </c>
      <c r="W102" s="16">
        <v>0.0387759136624326</v>
      </c>
      <c r="X102" s="16">
        <v>2.56689476089376</v>
      </c>
      <c r="Y102" s="16">
        <v>-0.213257705847611</v>
      </c>
      <c r="Z102" s="16">
        <v>20.1173041146871</v>
      </c>
      <c r="AA102" s="16">
        <v>0.131513124441856</v>
      </c>
      <c r="AB102" s="16">
        <v>7.33245231932028</v>
      </c>
      <c r="AC102" s="16">
        <v>0.00402760593673405</v>
      </c>
      <c r="AD102" s="16">
        <v>91.2070097569425</v>
      </c>
      <c r="AE102" s="16">
        <v>1.45633995951912</v>
      </c>
      <c r="AF102" s="16">
        <v>1141.85986844654</v>
      </c>
      <c r="AG102" s="16">
        <v>1.73014611934343</v>
      </c>
      <c r="AH102" s="20">
        <v>298.26535047991</v>
      </c>
      <c r="AI102" s="23">
        <v>0.232029721685997</v>
      </c>
      <c r="AJ102" s="24">
        <v>83</v>
      </c>
      <c r="AK102" s="29">
        <v>1</v>
      </c>
      <c r="AL102" s="14">
        <v>1</v>
      </c>
      <c r="AM102" s="29">
        <v>2</v>
      </c>
      <c r="AN102" s="30">
        <v>45</v>
      </c>
      <c r="AO102" s="29">
        <v>2</v>
      </c>
      <c r="AP102" s="35">
        <v>53.75</v>
      </c>
      <c r="AQ102" s="35">
        <v>33.3333333333333</v>
      </c>
      <c r="AR102" s="35">
        <v>66.6666666666667</v>
      </c>
      <c r="AS102" s="35">
        <v>6</v>
      </c>
      <c r="AT102" s="35">
        <v>18</v>
      </c>
      <c r="AU102" s="35">
        <v>27</v>
      </c>
      <c r="AV102" s="35">
        <v>100</v>
      </c>
      <c r="AW102" s="35">
        <v>22.9166666666667</v>
      </c>
      <c r="AX102" s="35">
        <v>66.6666666666667</v>
      </c>
      <c r="AY102" s="35">
        <v>85.8974358974359</v>
      </c>
      <c r="AZ102" s="35">
        <v>20.216049382716</v>
      </c>
      <c r="BA102" s="29">
        <v>4</v>
      </c>
      <c r="BB102" s="29">
        <v>1</v>
      </c>
      <c r="BC102" s="29">
        <v>1</v>
      </c>
      <c r="BD102" s="36">
        <v>1</v>
      </c>
      <c r="BE102" s="38">
        <v>268</v>
      </c>
      <c r="BF102" s="36">
        <f t="shared" si="1"/>
        <v>1</v>
      </c>
    </row>
    <row r="103" spans="1:58">
      <c r="A103" s="14" t="s">
        <v>180</v>
      </c>
      <c r="B103" s="14" t="s">
        <v>180</v>
      </c>
      <c r="C103" s="15" t="s">
        <v>73</v>
      </c>
      <c r="D103" s="16">
        <v>14.2569357310556</v>
      </c>
      <c r="E103" s="16">
        <v>-0.51353979150311</v>
      </c>
      <c r="F103" s="16">
        <v>16.1933729040271</v>
      </c>
      <c r="G103" s="16">
        <v>-0.0907742196408792</v>
      </c>
      <c r="H103" s="16">
        <v>28.4624084194305</v>
      </c>
      <c r="I103" s="16">
        <v>-0.746069576757647</v>
      </c>
      <c r="J103" s="16">
        <v>0</v>
      </c>
      <c r="K103" s="16">
        <v>-0.421999954345974</v>
      </c>
      <c r="L103" s="16">
        <v>1.24290537537375</v>
      </c>
      <c r="M103" s="16">
        <v>-0.324493925748727</v>
      </c>
      <c r="N103" s="16">
        <v>1.72342028063321</v>
      </c>
      <c r="O103" s="16">
        <v>-0.158544882653381</v>
      </c>
      <c r="P103" s="16">
        <v>0.950132061846434</v>
      </c>
      <c r="Q103" s="16">
        <v>-0.619922253846752</v>
      </c>
      <c r="R103" s="16">
        <v>4.81801541282379</v>
      </c>
      <c r="S103" s="16">
        <v>-0.0198410013860922</v>
      </c>
      <c r="T103" s="16">
        <v>3.76447009259229</v>
      </c>
      <c r="U103" s="16">
        <v>-0.484655511080671</v>
      </c>
      <c r="V103" s="16">
        <v>11.6280844270491</v>
      </c>
      <c r="W103" s="16">
        <v>-0.124645162205346</v>
      </c>
      <c r="X103" s="16">
        <v>1.0203581591124</v>
      </c>
      <c r="Y103" s="16">
        <v>-0.252210609103705</v>
      </c>
      <c r="Z103" s="16">
        <v>10.2592196925467</v>
      </c>
      <c r="AA103" s="16">
        <v>-0.780306288217528</v>
      </c>
      <c r="AB103" s="16">
        <v>5.95817774642737</v>
      </c>
      <c r="AC103" s="16">
        <v>-0.0748336593387733</v>
      </c>
      <c r="AD103" s="16">
        <v>59.7513017724768</v>
      </c>
      <c r="AE103" s="16">
        <v>0.299218826483854</v>
      </c>
      <c r="AF103" s="16">
        <v>452.70841065644</v>
      </c>
      <c r="AG103" s="16">
        <v>-0.339599578265671</v>
      </c>
      <c r="AH103" s="20">
        <v>274.681444805744</v>
      </c>
      <c r="AI103" s="23">
        <v>0.133300712910354</v>
      </c>
      <c r="AJ103" s="24">
        <v>72</v>
      </c>
      <c r="AK103" s="29">
        <v>2</v>
      </c>
      <c r="AL103" s="14">
        <v>2</v>
      </c>
      <c r="AM103" s="29">
        <v>1</v>
      </c>
      <c r="AN103" s="30">
        <v>0</v>
      </c>
      <c r="AO103" s="29">
        <v>1</v>
      </c>
      <c r="AP103" s="35">
        <v>85</v>
      </c>
      <c r="AQ103" s="35">
        <v>76.6666666666667</v>
      </c>
      <c r="AR103" s="35">
        <v>90</v>
      </c>
      <c r="AS103" s="35">
        <v>8</v>
      </c>
      <c r="AT103" s="35">
        <v>29</v>
      </c>
      <c r="AU103" s="35">
        <v>29</v>
      </c>
      <c r="AV103" s="35">
        <v>85.3333333333333</v>
      </c>
      <c r="AW103" s="35">
        <v>38.1944444444444</v>
      </c>
      <c r="AX103" s="35">
        <v>41.6666666666667</v>
      </c>
      <c r="AY103" s="35">
        <v>70.8547008547009</v>
      </c>
      <c r="AZ103" s="35">
        <v>29.4117647058823</v>
      </c>
      <c r="BA103" s="29" t="s">
        <v>74</v>
      </c>
      <c r="BB103" s="29">
        <v>0</v>
      </c>
      <c r="BC103" s="29">
        <v>0</v>
      </c>
      <c r="BD103" s="36">
        <v>0</v>
      </c>
      <c r="BE103" s="38">
        <v>385</v>
      </c>
      <c r="BF103" s="36">
        <f t="shared" si="1"/>
        <v>0</v>
      </c>
    </row>
    <row r="104" spans="1:58">
      <c r="A104" s="14" t="s">
        <v>181</v>
      </c>
      <c r="B104" s="14" t="s">
        <v>181</v>
      </c>
      <c r="C104" s="15" t="s">
        <v>73</v>
      </c>
      <c r="D104" s="16">
        <v>25.4325693236173</v>
      </c>
      <c r="E104" s="16">
        <v>-0.244287393139946</v>
      </c>
      <c r="F104" s="16">
        <v>16.1933729040271</v>
      </c>
      <c r="G104" s="16">
        <v>-0.0907742196408792</v>
      </c>
      <c r="H104" s="16">
        <v>65.6485565532264</v>
      </c>
      <c r="I104" s="16">
        <v>0.55254494090873</v>
      </c>
      <c r="J104" s="16">
        <v>0</v>
      </c>
      <c r="K104" s="16">
        <v>-0.421999954345974</v>
      </c>
      <c r="L104" s="16">
        <v>2.17723068889567</v>
      </c>
      <c r="M104" s="16">
        <v>-0.249104791691992</v>
      </c>
      <c r="N104" s="16">
        <v>1.15949206282802</v>
      </c>
      <c r="O104" s="16">
        <v>-0.430458970270623</v>
      </c>
      <c r="P104" s="16">
        <v>16.6772608872465</v>
      </c>
      <c r="Q104" s="16">
        <v>0.528175357489855</v>
      </c>
      <c r="R104" s="16">
        <v>1.95142969471515</v>
      </c>
      <c r="S104" s="16">
        <v>-0.702879116192986</v>
      </c>
      <c r="T104" s="16">
        <v>68.2814991789857</v>
      </c>
      <c r="U104" s="16">
        <v>0.146837146267769</v>
      </c>
      <c r="V104" s="16">
        <v>22.0458689934625</v>
      </c>
      <c r="W104" s="16">
        <v>0.0387759136624326</v>
      </c>
      <c r="X104" s="16">
        <v>2.07314740506889</v>
      </c>
      <c r="Y104" s="16">
        <v>-0.225693811764694</v>
      </c>
      <c r="Z104" s="16">
        <v>11.6161767485501</v>
      </c>
      <c r="AA104" s="16">
        <v>-0.654795110505339</v>
      </c>
      <c r="AB104" s="16">
        <v>11.1598456063481</v>
      </c>
      <c r="AC104" s="16">
        <v>0.223658444835706</v>
      </c>
      <c r="AD104" s="16">
        <v>33.2453128582223</v>
      </c>
      <c r="AE104" s="16">
        <v>-0.675823284786665</v>
      </c>
      <c r="AF104" s="16">
        <v>386.912604543987</v>
      </c>
      <c r="AG104" s="16">
        <v>-0.537205757694881</v>
      </c>
      <c r="AH104" s="20">
        <v>448.359123577335</v>
      </c>
      <c r="AI104" s="23">
        <v>0.860365403062872</v>
      </c>
      <c r="AJ104" s="24">
        <v>67</v>
      </c>
      <c r="AK104" s="29">
        <v>1</v>
      </c>
      <c r="AL104" s="14">
        <v>1</v>
      </c>
      <c r="AM104" s="29">
        <v>1</v>
      </c>
      <c r="AN104" s="30">
        <v>1</v>
      </c>
      <c r="AO104" s="29">
        <v>1</v>
      </c>
      <c r="AP104" s="35">
        <v>45</v>
      </c>
      <c r="AQ104" s="35">
        <v>40</v>
      </c>
      <c r="AR104" s="35">
        <v>53.3333333333333</v>
      </c>
      <c r="AS104" s="35">
        <v>5</v>
      </c>
      <c r="AT104" s="35">
        <v>16</v>
      </c>
      <c r="AU104" s="35">
        <v>28</v>
      </c>
      <c r="AV104" s="35">
        <v>83.3333333333333</v>
      </c>
      <c r="AW104" s="35">
        <v>28.4722222222222</v>
      </c>
      <c r="AX104" s="35">
        <v>66.6666666666667</v>
      </c>
      <c r="AY104" s="35">
        <v>76.0683760683761</v>
      </c>
      <c r="AZ104" s="35">
        <v>38.7962962962963</v>
      </c>
      <c r="BA104" s="29">
        <v>4</v>
      </c>
      <c r="BB104" s="29">
        <v>0</v>
      </c>
      <c r="BC104" s="29">
        <v>1</v>
      </c>
      <c r="BD104" s="36">
        <v>0</v>
      </c>
      <c r="BE104" s="38">
        <v>464</v>
      </c>
      <c r="BF104" s="36">
        <f t="shared" si="1"/>
        <v>0</v>
      </c>
    </row>
    <row r="105" spans="1:58">
      <c r="A105" s="14" t="s">
        <v>182</v>
      </c>
      <c r="B105" s="14" t="s">
        <v>182</v>
      </c>
      <c r="C105" s="15" t="s">
        <v>73</v>
      </c>
      <c r="D105" s="16">
        <v>12.9339188357344</v>
      </c>
      <c r="E105" s="16">
        <v>-0.545414984009181</v>
      </c>
      <c r="F105" s="16">
        <v>27.7961345680501</v>
      </c>
      <c r="G105" s="16">
        <v>0.180679423190007</v>
      </c>
      <c r="H105" s="16">
        <v>97.7667000975598</v>
      </c>
      <c r="I105" s="16">
        <v>1.67417462239912</v>
      </c>
      <c r="J105" s="16">
        <v>9.46376201709457</v>
      </c>
      <c r="K105" s="16">
        <v>-0.146395531357954</v>
      </c>
      <c r="L105" s="16">
        <v>3.51515762889863</v>
      </c>
      <c r="M105" s="16">
        <v>-0.141149722961389</v>
      </c>
      <c r="N105" s="16">
        <v>4.07278947157026</v>
      </c>
      <c r="O105" s="16">
        <v>0.974270535798319</v>
      </c>
      <c r="P105" s="16">
        <v>3.72898833818956</v>
      </c>
      <c r="Q105" s="16">
        <v>-0.417062705321618</v>
      </c>
      <c r="R105" s="16">
        <v>9.09595538329622</v>
      </c>
      <c r="S105" s="16">
        <v>0.99948873092572</v>
      </c>
      <c r="T105" s="16">
        <v>21.7129716656032</v>
      </c>
      <c r="U105" s="16">
        <v>-0.308975584179732</v>
      </c>
      <c r="V105" s="16">
        <v>13.221494469646</v>
      </c>
      <c r="W105" s="16">
        <v>-0.0996497534598801</v>
      </c>
      <c r="X105" s="16">
        <v>2.56689476089376</v>
      </c>
      <c r="Y105" s="16">
        <v>-0.213257705847611</v>
      </c>
      <c r="Z105" s="16">
        <v>22.4336298849453</v>
      </c>
      <c r="AA105" s="16">
        <v>0.34576071179474</v>
      </c>
      <c r="AB105" s="16">
        <v>6.81581186392461</v>
      </c>
      <c r="AC105" s="16">
        <v>-0.0256192497998537</v>
      </c>
      <c r="AD105" s="16">
        <v>83.3266690298433</v>
      </c>
      <c r="AE105" s="16">
        <v>1.16645588520904</v>
      </c>
      <c r="AF105" s="16">
        <v>782.862924271821</v>
      </c>
      <c r="AG105" s="16">
        <v>0.651961676342874</v>
      </c>
      <c r="AH105" s="20">
        <v>75.4240237464179</v>
      </c>
      <c r="AI105" s="23">
        <v>-0.700848131821823</v>
      </c>
      <c r="AJ105" s="24">
        <v>87</v>
      </c>
      <c r="AK105" s="29">
        <v>2</v>
      </c>
      <c r="AL105" s="14">
        <v>5</v>
      </c>
      <c r="AM105" s="29">
        <v>1</v>
      </c>
      <c r="AN105" s="30">
        <v>0</v>
      </c>
      <c r="AO105" s="29">
        <v>1</v>
      </c>
      <c r="AP105" s="35">
        <v>91.25</v>
      </c>
      <c r="AQ105" s="35">
        <v>76.6666666666667</v>
      </c>
      <c r="AR105" s="35">
        <v>100</v>
      </c>
      <c r="AS105" s="35">
        <v>30</v>
      </c>
      <c r="AT105" s="35">
        <v>40</v>
      </c>
      <c r="AU105" s="35">
        <v>40</v>
      </c>
      <c r="AV105" s="35">
        <v>6</v>
      </c>
      <c r="AW105" s="35">
        <v>95.8333333333333</v>
      </c>
      <c r="AX105" s="35">
        <v>0</v>
      </c>
      <c r="AY105" s="35">
        <v>4.87179487179487</v>
      </c>
      <c r="AZ105" s="35">
        <v>53.8235294117647</v>
      </c>
      <c r="BA105" s="29">
        <v>4</v>
      </c>
      <c r="BB105" s="29">
        <v>0</v>
      </c>
      <c r="BC105" s="29">
        <v>0</v>
      </c>
      <c r="BD105" s="36">
        <v>1</v>
      </c>
      <c r="BE105" s="38">
        <v>419</v>
      </c>
      <c r="BF105" s="36">
        <f t="shared" si="1"/>
        <v>1</v>
      </c>
    </row>
    <row r="106" spans="1:58">
      <c r="A106" s="17" t="s">
        <v>183</v>
      </c>
      <c r="B106" s="17" t="s">
        <v>183</v>
      </c>
      <c r="C106" s="18" t="s">
        <v>73</v>
      </c>
      <c r="D106" s="25">
        <v>0</v>
      </c>
      <c r="E106" s="25">
        <v>-0.857029411765105</v>
      </c>
      <c r="F106" s="25">
        <v>1.460628183</v>
      </c>
      <c r="G106" s="25">
        <v>-0.435455713514956</v>
      </c>
      <c r="H106" s="25">
        <v>39.65691145</v>
      </c>
      <c r="I106" s="25">
        <v>-0.355135186316013</v>
      </c>
      <c r="J106" s="25">
        <v>0</v>
      </c>
      <c r="K106" s="25">
        <v>-0.421999954345974</v>
      </c>
      <c r="L106" s="25">
        <v>0</v>
      </c>
      <c r="M106" s="25">
        <v>-0.424781864658015</v>
      </c>
      <c r="N106" s="25">
        <v>0.589462102</v>
      </c>
      <c r="O106" s="25">
        <v>-0.705315187461352</v>
      </c>
      <c r="P106" s="25">
        <v>2.095505436</v>
      </c>
      <c r="Q106" s="25">
        <v>-0.536308744378293</v>
      </c>
      <c r="R106" s="25">
        <v>4.066293244</v>
      </c>
      <c r="S106" s="25">
        <v>-0.198958231269846</v>
      </c>
      <c r="T106" s="25">
        <v>2.68414588</v>
      </c>
      <c r="U106" s="25">
        <v>-0.495229724082547</v>
      </c>
      <c r="V106" s="25">
        <v>0</v>
      </c>
      <c r="W106" s="19">
        <v>-0.307051897076419</v>
      </c>
      <c r="X106" s="19">
        <v>0.877253911</v>
      </c>
      <c r="Y106" s="19">
        <v>-0.255815002252782</v>
      </c>
      <c r="Z106" s="19">
        <v>15.74717291</v>
      </c>
      <c r="AA106" s="19">
        <v>-0.27270034114308</v>
      </c>
      <c r="AB106" s="19">
        <v>4.596205413</v>
      </c>
      <c r="AC106" s="19">
        <v>-0.152988973860981</v>
      </c>
      <c r="AD106" s="19">
        <v>41.6718264349558</v>
      </c>
      <c r="AE106" s="19">
        <v>-0.365847844327268</v>
      </c>
      <c r="AF106" s="19">
        <v>138.459965843557</v>
      </c>
      <c r="AG106" s="19">
        <v>-1.28338974119661</v>
      </c>
      <c r="AH106" s="25">
        <v>111.61581478766</v>
      </c>
      <c r="AI106" s="23">
        <v>-0.549338890533129</v>
      </c>
      <c r="AJ106" s="24">
        <v>67</v>
      </c>
      <c r="AK106" s="29">
        <v>1</v>
      </c>
      <c r="AL106" s="46">
        <v>2</v>
      </c>
      <c r="AM106" s="29">
        <v>1</v>
      </c>
      <c r="AN106" s="30">
        <v>0</v>
      </c>
      <c r="AO106" s="29">
        <v>1</v>
      </c>
      <c r="AP106" s="35">
        <v>0</v>
      </c>
      <c r="AQ106" s="35">
        <v>0</v>
      </c>
      <c r="AR106" s="35">
        <v>0</v>
      </c>
      <c r="AS106" s="35">
        <v>0</v>
      </c>
      <c r="AT106" s="35">
        <v>0</v>
      </c>
      <c r="AU106" s="35">
        <v>0</v>
      </c>
      <c r="AV106" s="35">
        <v>81.6666666666667</v>
      </c>
      <c r="AW106" s="35">
        <v>2.08333333333333</v>
      </c>
      <c r="AX106" s="35">
        <v>33.3333333333333</v>
      </c>
      <c r="AY106" s="35">
        <v>91.6666666666667</v>
      </c>
      <c r="AZ106" s="35">
        <v>6.66666666666667</v>
      </c>
      <c r="BA106" s="29">
        <v>5</v>
      </c>
      <c r="BB106" s="29">
        <v>0</v>
      </c>
      <c r="BC106" s="29">
        <v>0</v>
      </c>
      <c r="BD106" s="36">
        <v>0</v>
      </c>
      <c r="BE106" s="38">
        <v>414</v>
      </c>
      <c r="BF106" s="36">
        <f t="shared" si="1"/>
        <v>0</v>
      </c>
    </row>
    <row r="107" spans="1:58">
      <c r="A107" s="14" t="s">
        <v>184</v>
      </c>
      <c r="B107" s="14" t="s">
        <v>184</v>
      </c>
      <c r="C107" s="15" t="s">
        <v>73</v>
      </c>
      <c r="D107" s="16">
        <v>0</v>
      </c>
      <c r="E107" s="16">
        <v>-0.857029411765105</v>
      </c>
      <c r="F107" s="16">
        <v>0</v>
      </c>
      <c r="G107" s="16">
        <v>-0.469627995302509</v>
      </c>
      <c r="H107" s="16">
        <v>27.607797835767</v>
      </c>
      <c r="I107" s="16">
        <v>-0.775914284171377</v>
      </c>
      <c r="J107" s="16">
        <v>0</v>
      </c>
      <c r="K107" s="16">
        <v>-0.421999954345974</v>
      </c>
      <c r="L107" s="16">
        <v>0</v>
      </c>
      <c r="M107" s="16">
        <v>-0.424781864658015</v>
      </c>
      <c r="N107" s="16">
        <v>0.07062423459521</v>
      </c>
      <c r="O107" s="16">
        <v>-0.955487675523273</v>
      </c>
      <c r="P107" s="16">
        <v>6.91053959128431</v>
      </c>
      <c r="Q107" s="16">
        <v>-0.184805982904253</v>
      </c>
      <c r="R107" s="16">
        <v>2.76914890627942</v>
      </c>
      <c r="S107" s="16">
        <v>-0.508036385630316</v>
      </c>
      <c r="T107" s="16">
        <v>67.5211751974722</v>
      </c>
      <c r="U107" s="16">
        <v>0.139395095411882</v>
      </c>
      <c r="V107" s="16">
        <v>0</v>
      </c>
      <c r="W107" s="16">
        <v>-0.307051897076419</v>
      </c>
      <c r="X107" s="16">
        <v>0</v>
      </c>
      <c r="Y107" s="16">
        <v>-0.277910558663702</v>
      </c>
      <c r="Z107" s="16">
        <v>25.169014809548</v>
      </c>
      <c r="AA107" s="16">
        <v>0.598769001087421</v>
      </c>
      <c r="AB107" s="16">
        <v>1.11443654964988</v>
      </c>
      <c r="AC107" s="16">
        <v>-0.352786527695262</v>
      </c>
      <c r="AD107" s="16">
        <v>41.0697795154283</v>
      </c>
      <c r="AE107" s="16">
        <v>-0.387994578840702</v>
      </c>
      <c r="AF107" s="16">
        <v>279.274727490437</v>
      </c>
      <c r="AG107" s="16">
        <v>-0.860477268497107</v>
      </c>
      <c r="AH107" s="20">
        <v>0</v>
      </c>
      <c r="AI107" s="23">
        <v>-1.01659477723482</v>
      </c>
      <c r="AJ107" s="24">
        <v>64</v>
      </c>
      <c r="AK107" s="29">
        <v>2</v>
      </c>
      <c r="AL107" s="14">
        <v>1</v>
      </c>
      <c r="AM107" s="29">
        <v>1</v>
      </c>
      <c r="AN107" s="30">
        <v>0</v>
      </c>
      <c r="AO107" s="29">
        <v>1</v>
      </c>
      <c r="AP107" s="35">
        <v>70</v>
      </c>
      <c r="AQ107" s="35">
        <v>76.6666666666667</v>
      </c>
      <c r="AR107" s="35">
        <v>76.6666666666667</v>
      </c>
      <c r="AS107" s="35">
        <v>14</v>
      </c>
      <c r="AT107" s="35">
        <v>35</v>
      </c>
      <c r="AU107" s="35">
        <v>28</v>
      </c>
      <c r="AV107" s="35">
        <v>60</v>
      </c>
      <c r="AW107" s="35">
        <v>35.4166666666667</v>
      </c>
      <c r="AX107" s="35">
        <v>16.6666666666667</v>
      </c>
      <c r="AY107" s="35">
        <v>62.8205128205128</v>
      </c>
      <c r="AZ107" s="35">
        <v>55.3703703703704</v>
      </c>
      <c r="BA107" s="29">
        <v>4</v>
      </c>
      <c r="BB107" s="29">
        <v>1</v>
      </c>
      <c r="BC107" s="29">
        <v>1</v>
      </c>
      <c r="BD107" s="36">
        <v>1</v>
      </c>
      <c r="BE107" s="38">
        <v>234</v>
      </c>
      <c r="BF107" s="36">
        <f t="shared" si="1"/>
        <v>1</v>
      </c>
    </row>
    <row r="108" spans="1:58">
      <c r="A108" s="14" t="s">
        <v>185</v>
      </c>
      <c r="B108" s="14" t="s">
        <v>185</v>
      </c>
      <c r="C108" s="15" t="s">
        <v>73</v>
      </c>
      <c r="D108" s="16">
        <v>4.42088049727055</v>
      </c>
      <c r="E108" s="16">
        <v>-0.750517985195134</v>
      </c>
      <c r="F108" s="16">
        <v>16.1933729040271</v>
      </c>
      <c r="G108" s="16">
        <v>-0.0907742196408792</v>
      </c>
      <c r="H108" s="16">
        <v>66.5331928584261</v>
      </c>
      <c r="I108" s="16">
        <v>0.58343820645088</v>
      </c>
      <c r="J108" s="16">
        <v>0</v>
      </c>
      <c r="K108" s="16">
        <v>-0.421999954345974</v>
      </c>
      <c r="L108" s="16">
        <v>0.227512253162569</v>
      </c>
      <c r="M108" s="16">
        <v>-0.406424284589282</v>
      </c>
      <c r="N108" s="16">
        <v>1.72342028063321</v>
      </c>
      <c r="O108" s="16">
        <v>-0.158544882653381</v>
      </c>
      <c r="P108" s="16">
        <v>2.2022563236824</v>
      </c>
      <c r="Q108" s="16">
        <v>-0.528515812781123</v>
      </c>
      <c r="R108" s="16">
        <v>2.76914890627942</v>
      </c>
      <c r="S108" s="16">
        <v>-0.508036385630316</v>
      </c>
      <c r="T108" s="16">
        <v>7.38905107604073</v>
      </c>
      <c r="U108" s="16">
        <v>-0.449178113726439</v>
      </c>
      <c r="V108" s="16">
        <v>663.143407878589</v>
      </c>
      <c r="W108" s="16">
        <v>10.0955061976197</v>
      </c>
      <c r="X108" s="16">
        <v>1.0203581591124</v>
      </c>
      <c r="Y108" s="16">
        <v>-0.252210609103705</v>
      </c>
      <c r="Z108" s="16">
        <v>12.1654939319613</v>
      </c>
      <c r="AA108" s="16">
        <v>-0.603986246420469</v>
      </c>
      <c r="AB108" s="16">
        <v>3.58474836792388</v>
      </c>
      <c r="AC108" s="16">
        <v>-0.211030346320212</v>
      </c>
      <c r="AD108" s="16">
        <v>40.4677613544761</v>
      </c>
      <c r="AE108" s="16">
        <v>-0.410140255448993</v>
      </c>
      <c r="AF108" s="16">
        <v>184.093806365507</v>
      </c>
      <c r="AG108" s="16">
        <v>-1.14633649402137</v>
      </c>
      <c r="AH108" s="20">
        <v>292.613784327936</v>
      </c>
      <c r="AI108" s="23">
        <v>0.208370641128124</v>
      </c>
      <c r="AJ108" s="24">
        <v>50</v>
      </c>
      <c r="AK108" s="29">
        <v>1</v>
      </c>
      <c r="AL108" s="14">
        <v>3</v>
      </c>
      <c r="AM108" s="29">
        <v>2</v>
      </c>
      <c r="AN108" s="30">
        <v>30</v>
      </c>
      <c r="AO108" s="29">
        <v>2</v>
      </c>
      <c r="AP108" s="35">
        <v>80</v>
      </c>
      <c r="AQ108" s="35">
        <v>80</v>
      </c>
      <c r="AR108" s="35">
        <v>100</v>
      </c>
      <c r="AS108" s="35">
        <v>14</v>
      </c>
      <c r="AT108" s="35">
        <v>34</v>
      </c>
      <c r="AU108" s="35">
        <v>36</v>
      </c>
      <c r="AV108" s="35">
        <v>76.6666666666667</v>
      </c>
      <c r="AW108" s="35">
        <v>31.25</v>
      </c>
      <c r="AX108" s="35">
        <v>50</v>
      </c>
      <c r="AY108" s="35">
        <v>71.7948717948718</v>
      </c>
      <c r="AZ108" s="35">
        <v>50</v>
      </c>
      <c r="BA108" s="29" t="s">
        <v>82</v>
      </c>
      <c r="BB108" s="29">
        <v>0</v>
      </c>
      <c r="BC108" s="29">
        <v>0</v>
      </c>
      <c r="BD108" s="36">
        <v>0</v>
      </c>
      <c r="BE108" s="38">
        <v>411</v>
      </c>
      <c r="BF108" s="36">
        <f t="shared" si="1"/>
        <v>0</v>
      </c>
    </row>
    <row r="109" spans="1:58">
      <c r="A109" s="14" t="s">
        <v>186</v>
      </c>
      <c r="B109" s="14" t="s">
        <v>186</v>
      </c>
      <c r="C109" s="15" t="s">
        <v>73</v>
      </c>
      <c r="D109" s="16">
        <v>27.7585752079882</v>
      </c>
      <c r="E109" s="16">
        <v>-0.18824737914105</v>
      </c>
      <c r="F109" s="16">
        <v>1.46062818271764</v>
      </c>
      <c r="G109" s="16">
        <v>-0.435455713521562</v>
      </c>
      <c r="H109" s="16">
        <v>50.1062453423323</v>
      </c>
      <c r="I109" s="16">
        <v>0.00977641043507738</v>
      </c>
      <c r="J109" s="16">
        <v>0</v>
      </c>
      <c r="K109" s="16">
        <v>-0.421999954345974</v>
      </c>
      <c r="L109" s="16">
        <v>0</v>
      </c>
      <c r="M109" s="16">
        <v>-0.424781864658015</v>
      </c>
      <c r="N109" s="16">
        <v>1.53594126052784</v>
      </c>
      <c r="O109" s="16">
        <v>-0.248943243809582</v>
      </c>
      <c r="P109" s="16">
        <v>15.1291778311072</v>
      </c>
      <c r="Q109" s="16">
        <v>0.415163600630987</v>
      </c>
      <c r="R109" s="16">
        <v>6.18652626076913</v>
      </c>
      <c r="S109" s="16">
        <v>0.306242068018896</v>
      </c>
      <c r="T109" s="16">
        <v>19.1260285701385</v>
      </c>
      <c r="U109" s="16">
        <v>-0.334296582261907</v>
      </c>
      <c r="V109" s="16">
        <v>5.4342024927567</v>
      </c>
      <c r="W109" s="16">
        <v>-0.221806976509262</v>
      </c>
      <c r="X109" s="16">
        <v>1.29608304568848</v>
      </c>
      <c r="Y109" s="16">
        <v>-0.245265875419598</v>
      </c>
      <c r="Z109" s="16">
        <v>50.2987798881954</v>
      </c>
      <c r="AA109" s="16">
        <v>2.92313615530028</v>
      </c>
      <c r="AB109" s="16">
        <v>6.12934173417042</v>
      </c>
      <c r="AC109" s="16">
        <v>-0.0650115983698331</v>
      </c>
      <c r="AD109" s="16">
        <v>46.7905401082471</v>
      </c>
      <c r="AE109" s="16">
        <v>-0.177552232979179</v>
      </c>
      <c r="AF109" s="16">
        <v>276.994484015938</v>
      </c>
      <c r="AG109" s="16">
        <v>-0.867325580384859</v>
      </c>
      <c r="AH109" s="20">
        <v>524.888275758495</v>
      </c>
      <c r="AI109" s="23">
        <v>1.18073843379301</v>
      </c>
      <c r="AJ109" s="24">
        <v>62</v>
      </c>
      <c r="AK109" s="29">
        <v>1</v>
      </c>
      <c r="AL109" s="14">
        <v>5</v>
      </c>
      <c r="AM109" s="29">
        <v>2</v>
      </c>
      <c r="AN109" s="30">
        <v>30</v>
      </c>
      <c r="AO109" s="29">
        <v>1</v>
      </c>
      <c r="AP109" s="35">
        <v>70</v>
      </c>
      <c r="AQ109" s="35">
        <v>80</v>
      </c>
      <c r="AR109" s="35">
        <v>53.3333333333333</v>
      </c>
      <c r="AS109" s="35">
        <v>3</v>
      </c>
      <c r="AT109" s="35">
        <v>29</v>
      </c>
      <c r="AU109" s="35">
        <v>36</v>
      </c>
      <c r="AV109" s="35">
        <v>76.6666666666667</v>
      </c>
      <c r="AW109" s="35">
        <v>43.0555555555556</v>
      </c>
      <c r="AX109" s="35">
        <v>66.6666666666667</v>
      </c>
      <c r="AY109" s="35">
        <v>64.5299145299145</v>
      </c>
      <c r="AZ109" s="35">
        <v>52.7450980392157</v>
      </c>
      <c r="BA109" s="29">
        <v>5</v>
      </c>
      <c r="BB109" s="29">
        <v>1</v>
      </c>
      <c r="BC109" s="29">
        <v>1</v>
      </c>
      <c r="BD109" s="36">
        <v>1</v>
      </c>
      <c r="BE109" s="38">
        <v>125</v>
      </c>
      <c r="BF109" s="36">
        <f t="shared" si="1"/>
        <v>1</v>
      </c>
    </row>
    <row r="110" spans="1:58">
      <c r="A110" s="14" t="s">
        <v>187</v>
      </c>
      <c r="B110" s="14" t="s">
        <v>187</v>
      </c>
      <c r="C110" s="15" t="s">
        <v>73</v>
      </c>
      <c r="D110" s="16">
        <v>7.58969557583394</v>
      </c>
      <c r="E110" s="16">
        <v>-0.674172330802847</v>
      </c>
      <c r="F110" s="16">
        <v>18.8453548536334</v>
      </c>
      <c r="G110" s="16">
        <v>-0.0287294942739375</v>
      </c>
      <c r="H110" s="16">
        <v>107.226286357883</v>
      </c>
      <c r="I110" s="16">
        <v>2.00452225627004</v>
      </c>
      <c r="J110" s="16">
        <v>0</v>
      </c>
      <c r="K110" s="16">
        <v>-0.421999954345974</v>
      </c>
      <c r="L110" s="16">
        <v>1.71591364288296</v>
      </c>
      <c r="M110" s="16">
        <v>-0.286327686246152</v>
      </c>
      <c r="N110" s="16">
        <v>2.22146307102693</v>
      </c>
      <c r="O110" s="16">
        <v>0.0816006654295436</v>
      </c>
      <c r="P110" s="16">
        <v>13.1669231930531</v>
      </c>
      <c r="Q110" s="16">
        <v>0.271916865146401</v>
      </c>
      <c r="R110" s="16">
        <v>6.47900501819721</v>
      </c>
      <c r="S110" s="16">
        <v>0.375932689106114</v>
      </c>
      <c r="T110" s="16">
        <v>6.66182903233735</v>
      </c>
      <c r="U110" s="16">
        <v>-0.456296162827021</v>
      </c>
      <c r="V110" s="16">
        <v>21.5003840194117</v>
      </c>
      <c r="W110" s="16">
        <v>0.0302190328053946</v>
      </c>
      <c r="X110" s="16">
        <v>3.28670744677818</v>
      </c>
      <c r="Y110" s="16">
        <v>-0.195127650675643</v>
      </c>
      <c r="Z110" s="16">
        <v>34.2808245011658</v>
      </c>
      <c r="AA110" s="16">
        <v>1.44156204337617</v>
      </c>
      <c r="AB110" s="16">
        <v>8.02350381488927</v>
      </c>
      <c r="AC110" s="16">
        <v>0.0436828512465437</v>
      </c>
      <c r="AD110" s="16">
        <v>69.1099184416301</v>
      </c>
      <c r="AE110" s="16">
        <v>0.643482358215561</v>
      </c>
      <c r="AF110" s="16">
        <v>930.456020942741</v>
      </c>
      <c r="AG110" s="16">
        <v>1.09523169105201</v>
      </c>
      <c r="AH110" s="20">
        <v>693.306730490834</v>
      </c>
      <c r="AI110" s="23">
        <v>1.8857865002574</v>
      </c>
      <c r="AJ110" s="24">
        <v>73</v>
      </c>
      <c r="AK110" s="29">
        <v>1</v>
      </c>
      <c r="AL110" s="14">
        <v>2</v>
      </c>
      <c r="AM110" s="29">
        <v>2</v>
      </c>
      <c r="AN110" s="30">
        <v>50</v>
      </c>
      <c r="AO110" s="29">
        <v>2</v>
      </c>
      <c r="AP110" s="35">
        <v>10</v>
      </c>
      <c r="AQ110" s="35">
        <v>10</v>
      </c>
      <c r="AR110" s="35">
        <v>10</v>
      </c>
      <c r="AS110" s="35">
        <v>12</v>
      </c>
      <c r="AT110" s="35">
        <v>27</v>
      </c>
      <c r="AU110" s="35">
        <v>36</v>
      </c>
      <c r="AV110" s="35">
        <v>73.6666666666667</v>
      </c>
      <c r="AW110" s="35">
        <v>39.5833333333333</v>
      </c>
      <c r="AX110" s="35">
        <v>16.6666666666667</v>
      </c>
      <c r="AY110" s="35">
        <v>65.5128205128205</v>
      </c>
      <c r="AZ110" s="35">
        <v>49.8148148148148</v>
      </c>
      <c r="BA110" s="29">
        <v>5</v>
      </c>
      <c r="BB110" s="29">
        <v>1</v>
      </c>
      <c r="BC110" s="29">
        <v>1</v>
      </c>
      <c r="BD110" s="36">
        <v>0</v>
      </c>
      <c r="BE110" s="38">
        <v>312</v>
      </c>
      <c r="BF110" s="36">
        <f t="shared" si="1"/>
        <v>0</v>
      </c>
    </row>
    <row r="111" spans="1:58">
      <c r="A111" s="14" t="s">
        <v>188</v>
      </c>
      <c r="B111" s="14" t="s">
        <v>188</v>
      </c>
      <c r="C111" s="15" t="s">
        <v>73</v>
      </c>
      <c r="D111" s="16">
        <v>15.4622237713165</v>
      </c>
      <c r="E111" s="16">
        <v>-0.484501017739564</v>
      </c>
      <c r="F111" s="16">
        <v>0</v>
      </c>
      <c r="G111" s="16">
        <v>-0.469627995302509</v>
      </c>
      <c r="H111" s="16">
        <v>60.9388732387466</v>
      </c>
      <c r="I111" s="16">
        <v>0.388073398876763</v>
      </c>
      <c r="J111" s="16">
        <v>0</v>
      </c>
      <c r="K111" s="16">
        <v>-0.421999954345974</v>
      </c>
      <c r="L111" s="16">
        <v>0</v>
      </c>
      <c r="M111" s="16">
        <v>-0.424781864658015</v>
      </c>
      <c r="N111" s="16">
        <v>2.34560602435923</v>
      </c>
      <c r="O111" s="16">
        <v>0.141459734055053</v>
      </c>
      <c r="P111" s="16">
        <v>1.88312409984708</v>
      </c>
      <c r="Q111" s="16">
        <v>-0.551812814284292</v>
      </c>
      <c r="R111" s="16">
        <v>2.76914890627942</v>
      </c>
      <c r="S111" s="16">
        <v>-0.508036385630316</v>
      </c>
      <c r="T111" s="16">
        <v>7.20715275042026</v>
      </c>
      <c r="U111" s="16">
        <v>-0.450958534471782</v>
      </c>
      <c r="V111" s="16">
        <v>0</v>
      </c>
      <c r="W111" s="16">
        <v>-0.307051897076419</v>
      </c>
      <c r="X111" s="16">
        <v>0</v>
      </c>
      <c r="Y111" s="16">
        <v>-0.277910558663702</v>
      </c>
      <c r="Z111" s="16">
        <v>10.2592196925467</v>
      </c>
      <c r="AA111" s="16">
        <v>-0.780306288217528</v>
      </c>
      <c r="AB111" s="16">
        <v>3.58474836792388</v>
      </c>
      <c r="AC111" s="16">
        <v>-0.211030346320212</v>
      </c>
      <c r="AD111" s="16">
        <v>58.2430890459542</v>
      </c>
      <c r="AE111" s="16">
        <v>0.24373812263723</v>
      </c>
      <c r="AF111" s="16">
        <v>873.343172363223</v>
      </c>
      <c r="AG111" s="16">
        <v>0.923703253740541</v>
      </c>
      <c r="AH111" s="16">
        <v>189.795122086254</v>
      </c>
      <c r="AI111" s="23">
        <v>-0.222057836114244</v>
      </c>
      <c r="AJ111" s="24">
        <v>80</v>
      </c>
      <c r="AK111" s="29">
        <v>2</v>
      </c>
      <c r="AL111" s="14">
        <v>1</v>
      </c>
      <c r="AM111" s="29">
        <v>1</v>
      </c>
      <c r="AN111" s="30">
        <v>0</v>
      </c>
      <c r="AO111" s="29">
        <v>1</v>
      </c>
      <c r="AP111" s="35">
        <v>20</v>
      </c>
      <c r="AQ111" s="35">
        <v>13.3333333333333</v>
      </c>
      <c r="AR111" s="35">
        <v>40</v>
      </c>
      <c r="AS111" s="35">
        <v>0</v>
      </c>
      <c r="AT111" s="35">
        <v>5</v>
      </c>
      <c r="AU111" s="35">
        <v>24</v>
      </c>
      <c r="AV111" s="35">
        <v>85</v>
      </c>
      <c r="AW111" s="35">
        <v>8.33333333333333</v>
      </c>
      <c r="AX111" s="35">
        <v>66.6666666666667</v>
      </c>
      <c r="AY111" s="35">
        <v>89.1025641025641</v>
      </c>
      <c r="AZ111" s="35">
        <v>6.37254901960784</v>
      </c>
      <c r="BA111" s="29" t="s">
        <v>79</v>
      </c>
      <c r="BB111" s="29">
        <v>0</v>
      </c>
      <c r="BC111" s="29">
        <v>0</v>
      </c>
      <c r="BD111" s="36">
        <v>0</v>
      </c>
      <c r="BE111" s="38">
        <v>391</v>
      </c>
      <c r="BF111" s="36">
        <f t="shared" si="1"/>
        <v>0</v>
      </c>
    </row>
    <row r="112" spans="1:58">
      <c r="A112" s="17" t="s">
        <v>189</v>
      </c>
      <c r="B112" s="17" t="s">
        <v>189</v>
      </c>
      <c r="C112" s="18" t="s">
        <v>73</v>
      </c>
      <c r="D112" s="25">
        <v>35.08987278</v>
      </c>
      <c r="E112" s="25">
        <v>-0.0116158317635428</v>
      </c>
      <c r="F112" s="25">
        <v>76.38642122</v>
      </c>
      <c r="G112" s="25">
        <v>1.31747863529202</v>
      </c>
      <c r="H112" s="25">
        <v>68.89456444</v>
      </c>
      <c r="I112" s="25">
        <v>0.665902015458561</v>
      </c>
      <c r="J112" s="25">
        <v>28.02636586</v>
      </c>
      <c r="K112" s="25">
        <v>0.394186080060228</v>
      </c>
      <c r="L112" s="25">
        <v>32.7192536</v>
      </c>
      <c r="M112" s="25">
        <v>2.21527953599977</v>
      </c>
      <c r="N112" s="25">
        <v>3.888506216</v>
      </c>
      <c r="O112" s="25">
        <v>0.885413103736225</v>
      </c>
      <c r="P112" s="25">
        <v>2.095505436</v>
      </c>
      <c r="Q112" s="25">
        <v>-0.536308744378293</v>
      </c>
      <c r="R112" s="25">
        <v>3.783634252</v>
      </c>
      <c r="S112" s="25">
        <v>-0.266309039518581</v>
      </c>
      <c r="T112" s="25">
        <v>14.33834726</v>
      </c>
      <c r="U112" s="25">
        <v>-0.381158405192846</v>
      </c>
      <c r="V112" s="25">
        <v>32.38728003</v>
      </c>
      <c r="W112" s="19">
        <v>0.200998937838839</v>
      </c>
      <c r="X112" s="19">
        <v>8.760056315</v>
      </c>
      <c r="Y112" s="19">
        <v>-0.057269401019529</v>
      </c>
      <c r="Z112" s="19">
        <v>8.795489021</v>
      </c>
      <c r="AA112" s="19">
        <v>-0.915693447027379</v>
      </c>
      <c r="AB112" s="19">
        <v>3.249903765</v>
      </c>
      <c r="AC112" s="19">
        <v>-0.230245042988626</v>
      </c>
      <c r="AD112" s="19">
        <v>63.3723809603991</v>
      </c>
      <c r="AE112" s="19">
        <v>0.432422862292182</v>
      </c>
      <c r="AF112" s="19">
        <v>991.282216793436</v>
      </c>
      <c r="AG112" s="19">
        <v>1.27791251649438</v>
      </c>
      <c r="AH112" s="19">
        <v>325.511121984177</v>
      </c>
      <c r="AI112" s="23">
        <v>0.346088353496526</v>
      </c>
      <c r="AJ112" s="24">
        <v>63</v>
      </c>
      <c r="AK112" s="29">
        <v>1</v>
      </c>
      <c r="AL112" s="14">
        <v>1</v>
      </c>
      <c r="AM112" s="29">
        <v>3</v>
      </c>
      <c r="AN112" s="47">
        <v>30</v>
      </c>
      <c r="AO112" s="29">
        <v>3</v>
      </c>
      <c r="AP112" s="35">
        <v>0</v>
      </c>
      <c r="AQ112" s="35">
        <v>0</v>
      </c>
      <c r="AR112" s="35">
        <v>0</v>
      </c>
      <c r="AS112" s="35">
        <v>0</v>
      </c>
      <c r="AT112" s="35">
        <v>0</v>
      </c>
      <c r="AU112" s="35">
        <v>0</v>
      </c>
      <c r="AV112" s="35">
        <v>100</v>
      </c>
      <c r="AW112" s="35">
        <v>0</v>
      </c>
      <c r="AX112" s="35">
        <v>83.3333333333333</v>
      </c>
      <c r="AY112" s="35">
        <v>100</v>
      </c>
      <c r="AZ112" s="35">
        <v>0</v>
      </c>
      <c r="BA112" s="29">
        <v>1</v>
      </c>
      <c r="BB112" s="29">
        <v>0</v>
      </c>
      <c r="BC112" s="29">
        <v>0</v>
      </c>
      <c r="BD112" s="36">
        <v>0</v>
      </c>
      <c r="BE112" s="38">
        <v>407</v>
      </c>
      <c r="BF112" s="36">
        <f t="shared" si="1"/>
        <v>0</v>
      </c>
    </row>
    <row r="113" spans="1:58">
      <c r="A113" s="14" t="s">
        <v>190</v>
      </c>
      <c r="B113" s="14" t="s">
        <v>190</v>
      </c>
      <c r="C113" s="15" t="s">
        <v>73</v>
      </c>
      <c r="D113" s="16">
        <v>49.165404917898</v>
      </c>
      <c r="E113" s="16">
        <v>0.327503266494054</v>
      </c>
      <c r="F113" s="16">
        <v>51.6940151041546</v>
      </c>
      <c r="G113" s="16">
        <v>0.73978482544763</v>
      </c>
      <c r="H113" s="16">
        <v>80.3035768551816</v>
      </c>
      <c r="I113" s="16">
        <v>1.06432750177898</v>
      </c>
      <c r="J113" s="16">
        <v>105.743704147628</v>
      </c>
      <c r="K113" s="16">
        <v>2.65747652800646</v>
      </c>
      <c r="L113" s="16">
        <v>38.9431651641421</v>
      </c>
      <c r="M113" s="16">
        <v>2.71747646513752</v>
      </c>
      <c r="N113" s="16">
        <v>5.35906988630856</v>
      </c>
      <c r="O113" s="16">
        <v>1.5944873548019</v>
      </c>
      <c r="P113" s="16">
        <v>4.39837748229407</v>
      </c>
      <c r="Q113" s="16">
        <v>-0.368196565422017</v>
      </c>
      <c r="R113" s="16">
        <v>3.52796329893533</v>
      </c>
      <c r="S113" s="16">
        <v>-0.327229250168132</v>
      </c>
      <c r="T113" s="16">
        <v>110.098103812859</v>
      </c>
      <c r="U113" s="16">
        <v>0.55613805729039</v>
      </c>
      <c r="V113" s="16">
        <v>47.6369851122766</v>
      </c>
      <c r="W113" s="16">
        <v>0.440217093611277</v>
      </c>
      <c r="X113" s="16">
        <v>53.4309792424497</v>
      </c>
      <c r="Y113" s="16">
        <v>1.06786539187776</v>
      </c>
      <c r="Z113" s="16">
        <v>27.5612345945648</v>
      </c>
      <c r="AA113" s="16">
        <v>0.820036373724972</v>
      </c>
      <c r="AB113" s="16">
        <v>20.2162356494209</v>
      </c>
      <c r="AC113" s="16">
        <v>0.743349627160216</v>
      </c>
      <c r="AD113" s="16">
        <v>51.9120188640216</v>
      </c>
      <c r="AE113" s="16">
        <v>0.0108450939423593</v>
      </c>
      <c r="AF113" s="16">
        <v>562.57460678964</v>
      </c>
      <c r="AG113" s="16">
        <v>-0.00963570140098971</v>
      </c>
      <c r="AH113" s="20">
        <v>243.393595800382</v>
      </c>
      <c r="AI113" s="23">
        <v>0.00232078271138268</v>
      </c>
      <c r="AJ113" s="24">
        <v>59</v>
      </c>
      <c r="AK113" s="29">
        <v>1</v>
      </c>
      <c r="AL113" s="14">
        <v>1</v>
      </c>
      <c r="AM113" s="29">
        <v>1</v>
      </c>
      <c r="AN113" s="47">
        <v>0</v>
      </c>
      <c r="AO113" s="29">
        <v>1</v>
      </c>
      <c r="AP113" s="35">
        <v>55</v>
      </c>
      <c r="AQ113" s="35">
        <v>40</v>
      </c>
      <c r="AR113" s="35">
        <v>53.3333333333333</v>
      </c>
      <c r="AS113" s="35">
        <v>4</v>
      </c>
      <c r="AT113" s="35">
        <v>15</v>
      </c>
      <c r="AU113" s="35">
        <v>29</v>
      </c>
      <c r="AV113" s="35">
        <v>96.6666666666667</v>
      </c>
      <c r="AW113" s="35">
        <v>15.9722222222222</v>
      </c>
      <c r="AX113" s="35">
        <v>66.6666666666667</v>
      </c>
      <c r="AY113" s="35">
        <v>88.8888888888889</v>
      </c>
      <c r="AZ113" s="35">
        <v>14.2156862745098</v>
      </c>
      <c r="BA113" s="29">
        <v>4</v>
      </c>
      <c r="BB113" s="29">
        <v>1</v>
      </c>
      <c r="BC113" s="29">
        <v>1</v>
      </c>
      <c r="BD113" s="36">
        <v>0</v>
      </c>
      <c r="BE113" s="38">
        <v>419</v>
      </c>
      <c r="BF113" s="36">
        <f t="shared" si="1"/>
        <v>0</v>
      </c>
    </row>
    <row r="114" spans="1:58">
      <c r="A114" s="17" t="s">
        <v>191</v>
      </c>
      <c r="B114" s="17" t="s">
        <v>191</v>
      </c>
      <c r="C114" s="18" t="s">
        <v>192</v>
      </c>
      <c r="D114" s="39">
        <v>16.13</v>
      </c>
      <c r="E114" s="39">
        <v>-0.579260985983586</v>
      </c>
      <c r="F114" s="39">
        <v>71.75</v>
      </c>
      <c r="G114" s="39">
        <v>-0.462872153883614</v>
      </c>
      <c r="H114" s="39">
        <v>30.12</v>
      </c>
      <c r="I114" s="39">
        <v>-0.520701535143993</v>
      </c>
      <c r="J114" s="39">
        <v>20.41</v>
      </c>
      <c r="K114" s="39">
        <v>-0.352120480667569</v>
      </c>
      <c r="L114" s="39">
        <v>2.2</v>
      </c>
      <c r="M114" s="39">
        <v>-0.373687268730068</v>
      </c>
      <c r="N114" s="39">
        <v>75.53</v>
      </c>
      <c r="O114" s="39">
        <v>-0.377771314054363</v>
      </c>
      <c r="P114" s="39">
        <v>4.71</v>
      </c>
      <c r="Q114" s="39">
        <v>-0.377275760795209</v>
      </c>
      <c r="R114" s="39">
        <v>7.41</v>
      </c>
      <c r="S114" s="39">
        <v>-0.415370625670736</v>
      </c>
      <c r="T114" s="39">
        <v>26.83</v>
      </c>
      <c r="U114" s="39">
        <v>0.0617719725883521</v>
      </c>
      <c r="V114" s="39">
        <v>9.79</v>
      </c>
      <c r="W114" s="19">
        <v>0.322956029094827</v>
      </c>
      <c r="X114" s="19"/>
      <c r="Y114" s="39"/>
      <c r="Z114" s="39">
        <v>8.44</v>
      </c>
      <c r="AA114" s="39">
        <v>-0.96716627042359</v>
      </c>
      <c r="AB114" s="39">
        <v>15.26</v>
      </c>
      <c r="AC114" s="19">
        <v>-0.377545423564758</v>
      </c>
      <c r="AD114" s="19"/>
      <c r="AE114" s="39"/>
      <c r="AF114" s="39">
        <v>230.18</v>
      </c>
      <c r="AG114" s="39">
        <v>-0.0665463752281496</v>
      </c>
      <c r="AH114" s="42">
        <v>60.78</v>
      </c>
      <c r="AI114" s="23">
        <v>-0.120399619407813</v>
      </c>
      <c r="AJ114" s="24">
        <v>51</v>
      </c>
      <c r="AK114" s="29">
        <v>1</v>
      </c>
      <c r="AL114" s="14">
        <v>1</v>
      </c>
      <c r="AM114" s="29">
        <v>1</v>
      </c>
      <c r="AN114" s="30">
        <v>0</v>
      </c>
      <c r="AO114" s="29">
        <v>3</v>
      </c>
      <c r="AP114" s="35">
        <v>12.25</v>
      </c>
      <c r="AQ114" s="35">
        <v>4</v>
      </c>
      <c r="AR114" s="35">
        <v>26.3333333333333</v>
      </c>
      <c r="AS114" s="35">
        <v>0</v>
      </c>
      <c r="AT114" s="35">
        <v>0</v>
      </c>
      <c r="AU114" s="35">
        <v>3</v>
      </c>
      <c r="AV114" s="35">
        <v>85.3333333333333</v>
      </c>
      <c r="AW114" s="35">
        <v>10.4166666666667</v>
      </c>
      <c r="AX114" s="35">
        <v>75</v>
      </c>
      <c r="AY114" s="35">
        <v>87.9487179487179</v>
      </c>
      <c r="AZ114" s="35">
        <v>15.2777777777778</v>
      </c>
      <c r="BA114" s="29">
        <v>5</v>
      </c>
      <c r="BB114" s="29">
        <v>1</v>
      </c>
      <c r="BC114" s="29">
        <v>0</v>
      </c>
      <c r="BD114" s="14">
        <v>0</v>
      </c>
      <c r="BE114" s="44">
        <v>1521</v>
      </c>
      <c r="BF114" s="14">
        <f t="shared" si="1"/>
        <v>0</v>
      </c>
    </row>
    <row r="115" spans="1:58">
      <c r="A115" s="17" t="s">
        <v>193</v>
      </c>
      <c r="B115" s="17" t="s">
        <v>193</v>
      </c>
      <c r="C115" s="18" t="s">
        <v>192</v>
      </c>
      <c r="D115" s="39">
        <v>45.21</v>
      </c>
      <c r="E115" s="39">
        <v>0.211349703505984</v>
      </c>
      <c r="F115" s="39">
        <v>77.65</v>
      </c>
      <c r="G115" s="39">
        <v>-0.236886543444433</v>
      </c>
      <c r="H115" s="39">
        <v>30.12</v>
      </c>
      <c r="I115" s="39">
        <v>-0.520701535143993</v>
      </c>
      <c r="J115" s="39">
        <v>21.55</v>
      </c>
      <c r="K115" s="39">
        <v>-0.339175751435447</v>
      </c>
      <c r="L115" s="39">
        <v>2.49</v>
      </c>
      <c r="M115" s="39">
        <v>-0.312925111212984</v>
      </c>
      <c r="N115" s="39">
        <v>122.72</v>
      </c>
      <c r="O115" s="39">
        <v>-0.321282875010494</v>
      </c>
      <c r="P115" s="39">
        <v>6.73</v>
      </c>
      <c r="Q115" s="39">
        <v>-0.315586480022789</v>
      </c>
      <c r="R115" s="39">
        <v>8.74</v>
      </c>
      <c r="S115" s="39">
        <v>-0.376124029846432</v>
      </c>
      <c r="T115" s="39">
        <v>11.17</v>
      </c>
      <c r="U115" s="39">
        <v>-0.471437756622095</v>
      </c>
      <c r="V115" s="39">
        <v>13.73</v>
      </c>
      <c r="W115" s="19">
        <v>1.56570117474735</v>
      </c>
      <c r="X115" s="19"/>
      <c r="Y115" s="39"/>
      <c r="Z115" s="39">
        <v>12.27</v>
      </c>
      <c r="AA115" s="39">
        <v>-0.39197266549776</v>
      </c>
      <c r="AB115" s="39">
        <v>22.85</v>
      </c>
      <c r="AC115" s="19">
        <v>-0.323221311206224</v>
      </c>
      <c r="AD115" s="19"/>
      <c r="AE115" s="39"/>
      <c r="AF115" s="39">
        <v>319.22</v>
      </c>
      <c r="AG115" s="39">
        <v>0.540136460357507</v>
      </c>
      <c r="AH115" s="42">
        <v>81.83</v>
      </c>
      <c r="AI115" s="23">
        <v>-0.059397508785821</v>
      </c>
      <c r="AJ115" s="24">
        <v>79</v>
      </c>
      <c r="AK115" s="29">
        <v>1</v>
      </c>
      <c r="AL115" s="14">
        <v>1</v>
      </c>
      <c r="AM115" s="29">
        <v>2</v>
      </c>
      <c r="AN115" s="30">
        <v>30</v>
      </c>
      <c r="AO115" s="29">
        <v>2</v>
      </c>
      <c r="AP115" s="35">
        <v>20</v>
      </c>
      <c r="AQ115" s="35">
        <v>4</v>
      </c>
      <c r="AR115" s="35">
        <v>10.6666666666667</v>
      </c>
      <c r="AS115" s="35">
        <v>0</v>
      </c>
      <c r="AT115" s="35">
        <v>1</v>
      </c>
      <c r="AU115" s="35">
        <v>2</v>
      </c>
      <c r="AV115" s="35">
        <v>93.3333333333333</v>
      </c>
      <c r="AW115" s="35">
        <v>20.8333333333333</v>
      </c>
      <c r="AX115" s="35">
        <v>83.3333333333333</v>
      </c>
      <c r="AY115" s="35">
        <v>84.6153846153846</v>
      </c>
      <c r="AZ115" s="35">
        <v>15.2777777777778</v>
      </c>
      <c r="BA115" s="29">
        <v>4</v>
      </c>
      <c r="BB115" s="29">
        <v>0</v>
      </c>
      <c r="BC115" s="29">
        <v>0</v>
      </c>
      <c r="BD115" s="14">
        <v>0</v>
      </c>
      <c r="BE115" s="44">
        <v>1594</v>
      </c>
      <c r="BF115" s="14">
        <f t="shared" si="1"/>
        <v>0</v>
      </c>
    </row>
    <row r="116" spans="1:58">
      <c r="A116" s="17" t="s">
        <v>194</v>
      </c>
      <c r="B116" s="17" t="s">
        <v>194</v>
      </c>
      <c r="C116" s="18" t="s">
        <v>192</v>
      </c>
      <c r="D116" s="39">
        <v>47.15</v>
      </c>
      <c r="E116" s="39">
        <v>0.264093332722276</v>
      </c>
      <c r="F116" s="39">
        <v>93.24</v>
      </c>
      <c r="G116" s="39">
        <v>0.360251705156724</v>
      </c>
      <c r="H116" s="39">
        <v>67.08</v>
      </c>
      <c r="I116" s="39">
        <v>0.248672764804915</v>
      </c>
      <c r="J116" s="39">
        <v>307.71</v>
      </c>
      <c r="K116" s="39">
        <v>2.91017838634004</v>
      </c>
      <c r="L116" s="39">
        <v>7.73</v>
      </c>
      <c r="M116" s="39">
        <v>0.7849842177164</v>
      </c>
      <c r="N116" s="39">
        <v>3483</v>
      </c>
      <c r="O116" s="39">
        <v>3.70111534389888</v>
      </c>
      <c r="P116" s="39">
        <v>149.54</v>
      </c>
      <c r="Q116" s="39">
        <v>4.04572351359567</v>
      </c>
      <c r="R116" s="39">
        <v>163.45</v>
      </c>
      <c r="S116" s="39">
        <v>4.18916983479883</v>
      </c>
      <c r="T116" s="39">
        <v>91.61</v>
      </c>
      <c r="U116" s="39">
        <v>2.26747607592505</v>
      </c>
      <c r="V116" s="39">
        <v>12.8</v>
      </c>
      <c r="W116" s="19">
        <v>1.27236285356541</v>
      </c>
      <c r="X116" s="19"/>
      <c r="Y116" s="39"/>
      <c r="Z116" s="39">
        <v>13.65</v>
      </c>
      <c r="AA116" s="39">
        <v>-0.184722750406991</v>
      </c>
      <c r="AB116" s="39">
        <v>664.85</v>
      </c>
      <c r="AC116" s="19">
        <v>4.27178265904136</v>
      </c>
      <c r="AD116" s="19"/>
      <c r="AE116" s="39"/>
      <c r="AF116" s="39">
        <v>462.03</v>
      </c>
      <c r="AG116" s="39">
        <v>1.51318650247327</v>
      </c>
      <c r="AH116" s="42">
        <v>53.98</v>
      </c>
      <c r="AI116" s="23">
        <v>-0.140105764406841</v>
      </c>
      <c r="AJ116" s="24">
        <v>50</v>
      </c>
      <c r="AK116" s="29">
        <v>1</v>
      </c>
      <c r="AL116" s="14">
        <v>1</v>
      </c>
      <c r="AM116" s="29">
        <v>1</v>
      </c>
      <c r="AN116" s="30">
        <v>0</v>
      </c>
      <c r="AO116" s="29">
        <v>1</v>
      </c>
      <c r="AP116" s="35">
        <v>15.375</v>
      </c>
      <c r="AQ116" s="35">
        <v>8.66666666666667</v>
      </c>
      <c r="AR116" s="35">
        <v>11.3333333333333</v>
      </c>
      <c r="AS116" s="35">
        <v>1</v>
      </c>
      <c r="AT116" s="35">
        <v>4</v>
      </c>
      <c r="AU116" s="35">
        <v>10</v>
      </c>
      <c r="AV116" s="35">
        <v>96.6666666666667</v>
      </c>
      <c r="AW116" s="35">
        <v>2.08333333333333</v>
      </c>
      <c r="AX116" s="35">
        <v>83.3333333333333</v>
      </c>
      <c r="AY116" s="35">
        <v>97.4358974358974</v>
      </c>
      <c r="AZ116" s="35">
        <v>7.40740740740741</v>
      </c>
      <c r="BA116" s="29">
        <v>2</v>
      </c>
      <c r="BB116" s="29">
        <v>0</v>
      </c>
      <c r="BC116" s="29">
        <v>0</v>
      </c>
      <c r="BD116" s="14">
        <v>0</v>
      </c>
      <c r="BE116" s="44">
        <v>1629</v>
      </c>
      <c r="BF116" s="14">
        <f t="shared" si="1"/>
        <v>0</v>
      </c>
    </row>
    <row r="117" spans="1:58">
      <c r="A117" s="17" t="s">
        <v>195</v>
      </c>
      <c r="B117" s="17" t="s">
        <v>195</v>
      </c>
      <c r="C117" s="18" t="s">
        <v>192</v>
      </c>
      <c r="D117" s="39">
        <v>16.38</v>
      </c>
      <c r="E117" s="39">
        <v>-0.572464126548497</v>
      </c>
      <c r="F117" s="39">
        <v>91.86</v>
      </c>
      <c r="G117" s="39">
        <v>0.307394053901458</v>
      </c>
      <c r="H117" s="39">
        <v>42.43</v>
      </c>
      <c r="I117" s="39">
        <v>-0.264451599203218</v>
      </c>
      <c r="J117" s="39">
        <v>12.93</v>
      </c>
      <c r="K117" s="39">
        <v>-0.437056072471318</v>
      </c>
      <c r="L117" s="39">
        <v>3.59</v>
      </c>
      <c r="M117" s="39">
        <v>-0.0824479620102505</v>
      </c>
      <c r="N117" s="39">
        <v>32.65</v>
      </c>
      <c r="O117" s="39">
        <v>-0.429100499606411</v>
      </c>
      <c r="P117" s="39">
        <v>3</v>
      </c>
      <c r="Q117" s="39">
        <v>-0.429497874716416</v>
      </c>
      <c r="R117" s="39">
        <v>5.34</v>
      </c>
      <c r="S117" s="39">
        <v>-0.47645367330706</v>
      </c>
      <c r="T117" s="39">
        <v>12.03</v>
      </c>
      <c r="U117" s="39">
        <v>-0.442155485413858</v>
      </c>
      <c r="V117" s="39">
        <v>8.72</v>
      </c>
      <c r="W117" s="19">
        <v>-0.0145407490392336</v>
      </c>
      <c r="X117" s="19"/>
      <c r="Y117" s="39"/>
      <c r="Z117" s="39">
        <v>15.85</v>
      </c>
      <c r="AA117" s="39">
        <v>0.145675664955105</v>
      </c>
      <c r="AB117" s="39">
        <v>7.46</v>
      </c>
      <c r="AC117" s="19">
        <v>-0.43337257460515</v>
      </c>
      <c r="AD117" s="19"/>
      <c r="AE117" s="39"/>
      <c r="AF117" s="39">
        <v>78.37</v>
      </c>
      <c r="AG117" s="39">
        <v>-1.10091880638559</v>
      </c>
      <c r="AH117" s="42">
        <v>49.29</v>
      </c>
      <c r="AI117" s="23">
        <v>-0.153697208531171</v>
      </c>
      <c r="AJ117" s="24">
        <v>78</v>
      </c>
      <c r="AK117" s="29">
        <v>2</v>
      </c>
      <c r="AL117" s="14">
        <v>1</v>
      </c>
      <c r="AM117" s="29">
        <v>2</v>
      </c>
      <c r="AN117" s="30"/>
      <c r="AO117" s="29">
        <v>1</v>
      </c>
      <c r="AP117" s="35">
        <v>53.5</v>
      </c>
      <c r="AQ117" s="35">
        <v>45</v>
      </c>
      <c r="AR117" s="35">
        <v>54.6666666666667</v>
      </c>
      <c r="AS117" s="35">
        <v>9</v>
      </c>
      <c r="AT117" s="35">
        <v>12</v>
      </c>
      <c r="AU117" s="35">
        <v>25</v>
      </c>
      <c r="AV117" s="35">
        <v>52.3333333333333</v>
      </c>
      <c r="AW117" s="35">
        <v>38.8888888888889</v>
      </c>
      <c r="AX117" s="35">
        <v>50</v>
      </c>
      <c r="AY117" s="35">
        <v>57.7350427350427</v>
      </c>
      <c r="AZ117" s="35">
        <v>30.3703703703704</v>
      </c>
      <c r="BA117" s="29">
        <v>4</v>
      </c>
      <c r="BB117" s="29">
        <v>1</v>
      </c>
      <c r="BC117" s="29">
        <v>1</v>
      </c>
      <c r="BD117" s="14">
        <v>1</v>
      </c>
      <c r="BE117" s="44">
        <v>761</v>
      </c>
      <c r="BF117" s="14">
        <f t="shared" si="1"/>
        <v>0</v>
      </c>
    </row>
    <row r="118" spans="1:58">
      <c r="A118" s="17" t="s">
        <v>196</v>
      </c>
      <c r="B118" s="17" t="s">
        <v>196</v>
      </c>
      <c r="C118" s="18" t="s">
        <v>192</v>
      </c>
      <c r="D118" s="39">
        <v>13.78</v>
      </c>
      <c r="E118" s="39">
        <v>-0.643151464673424</v>
      </c>
      <c r="F118" s="39">
        <v>76.19</v>
      </c>
      <c r="G118" s="39">
        <v>-0.292808406366671</v>
      </c>
      <c r="H118" s="39">
        <v>34.67</v>
      </c>
      <c r="I118" s="39">
        <v>-0.425986895945737</v>
      </c>
      <c r="J118" s="39">
        <v>10.35</v>
      </c>
      <c r="K118" s="39">
        <v>-0.466352038628225</v>
      </c>
      <c r="L118" s="39">
        <v>4.89</v>
      </c>
      <c r="M118" s="39">
        <v>0.189934123411161</v>
      </c>
      <c r="N118" s="39">
        <v>29.29</v>
      </c>
      <c r="O118" s="39">
        <v>-0.433122562653399</v>
      </c>
      <c r="P118" s="39">
        <v>4.57</v>
      </c>
      <c r="Q118" s="39">
        <v>-0.381551255502208</v>
      </c>
      <c r="R118" s="39">
        <v>11.16</v>
      </c>
      <c r="S118" s="39">
        <v>-0.304712930677396</v>
      </c>
      <c r="T118" s="39">
        <v>9.66</v>
      </c>
      <c r="U118" s="39">
        <v>-0.522851976999347</v>
      </c>
      <c r="V118" s="39">
        <v>7.57</v>
      </c>
      <c r="W118" s="19">
        <v>-0.377270931145935</v>
      </c>
      <c r="X118" s="19"/>
      <c r="Y118" s="39"/>
      <c r="Z118" s="39">
        <v>27.83</v>
      </c>
      <c r="AA118" s="39">
        <v>1.94484521769961</v>
      </c>
      <c r="AB118" s="39">
        <v>10.54</v>
      </c>
      <c r="AC118" s="19">
        <v>-0.411328007271252</v>
      </c>
      <c r="AD118" s="19"/>
      <c r="AE118" s="39"/>
      <c r="AF118" s="39">
        <v>339.91</v>
      </c>
      <c r="AG118" s="39">
        <v>0.68110981916554</v>
      </c>
      <c r="AH118" s="42">
        <v>75.53</v>
      </c>
      <c r="AI118" s="23">
        <v>-0.0776546725349208</v>
      </c>
      <c r="AJ118" s="24">
        <v>72</v>
      </c>
      <c r="AK118" s="29">
        <v>2</v>
      </c>
      <c r="AL118" s="14">
        <v>1</v>
      </c>
      <c r="AM118" s="29">
        <v>3</v>
      </c>
      <c r="AN118" s="30">
        <v>75</v>
      </c>
      <c r="AO118" s="29">
        <v>1</v>
      </c>
      <c r="AP118" s="35">
        <v>89</v>
      </c>
      <c r="AQ118" s="35">
        <v>76.6666666666667</v>
      </c>
      <c r="AR118" s="35">
        <v>100</v>
      </c>
      <c r="AS118" s="35">
        <v>17</v>
      </c>
      <c r="AT118" s="35">
        <v>33</v>
      </c>
      <c r="AU118" s="35">
        <v>40</v>
      </c>
      <c r="AV118" s="35">
        <v>43.6666666666667</v>
      </c>
      <c r="AW118" s="35">
        <v>54.1666666666667</v>
      </c>
      <c r="AX118" s="35">
        <v>33.3333333333333</v>
      </c>
      <c r="AY118" s="35">
        <v>45</v>
      </c>
      <c r="AZ118" s="35">
        <v>57.1604938271605</v>
      </c>
      <c r="BA118" s="29">
        <v>5</v>
      </c>
      <c r="BB118" s="29">
        <v>1</v>
      </c>
      <c r="BC118" s="29">
        <v>1</v>
      </c>
      <c r="BD118" s="14">
        <v>0</v>
      </c>
      <c r="BE118" s="44">
        <v>1681</v>
      </c>
      <c r="BF118" s="14">
        <f t="shared" si="1"/>
        <v>0</v>
      </c>
    </row>
    <row r="119" spans="1:58">
      <c r="A119" s="14" t="s">
        <v>197</v>
      </c>
      <c r="B119" s="14" t="s">
        <v>197</v>
      </c>
      <c r="C119" s="15" t="s">
        <v>192</v>
      </c>
      <c r="D119" s="40">
        <v>44.13</v>
      </c>
      <c r="E119" s="40">
        <v>0.181987270746399</v>
      </c>
      <c r="F119" s="40">
        <v>89.59</v>
      </c>
      <c r="G119" s="40">
        <v>0.220447047851129</v>
      </c>
      <c r="H119" s="40">
        <v>42.75</v>
      </c>
      <c r="I119" s="40">
        <v>-0.257790349853011</v>
      </c>
      <c r="J119" s="40">
        <v>15.8</v>
      </c>
      <c r="K119" s="40">
        <v>-0.404467148878168</v>
      </c>
      <c r="L119" s="40">
        <v>3.36</v>
      </c>
      <c r="M119" s="40">
        <v>-0.130638638661731</v>
      </c>
      <c r="N119" s="40">
        <v>86.36</v>
      </c>
      <c r="O119" s="40">
        <v>-0.364807342983266</v>
      </c>
      <c r="P119" s="40">
        <v>4.27</v>
      </c>
      <c r="Q119" s="40">
        <v>-0.39071302987435</v>
      </c>
      <c r="R119" s="40">
        <v>8.58</v>
      </c>
      <c r="S119" s="40">
        <v>-0.380845424832814</v>
      </c>
      <c r="T119" s="40">
        <v>11.24</v>
      </c>
      <c r="U119" s="40">
        <v>-0.469054315942355</v>
      </c>
      <c r="V119" s="40">
        <v>8.09</v>
      </c>
      <c r="W119" s="41">
        <v>-0.213253805323774</v>
      </c>
      <c r="X119" s="41"/>
      <c r="Y119" s="40"/>
      <c r="Z119" s="40">
        <v>11.32</v>
      </c>
      <c r="AA119" s="40">
        <v>-0.534644708495028</v>
      </c>
      <c r="AB119" s="40">
        <v>19.32</v>
      </c>
      <c r="AC119" s="41">
        <v>-0.348486675715529</v>
      </c>
      <c r="AD119" s="41"/>
      <c r="AE119" s="40"/>
      <c r="AF119" s="40">
        <v>375.93</v>
      </c>
      <c r="AG119" s="40">
        <v>0.926535647307895</v>
      </c>
      <c r="AH119" s="43">
        <v>41.34</v>
      </c>
      <c r="AI119" s="23">
        <v>-0.176736010405035</v>
      </c>
      <c r="AJ119" s="24">
        <v>30</v>
      </c>
      <c r="AK119" s="29">
        <v>1</v>
      </c>
      <c r="AL119" s="14">
        <v>1</v>
      </c>
      <c r="AM119" s="29">
        <v>2</v>
      </c>
      <c r="AN119" s="30">
        <v>3</v>
      </c>
      <c r="AO119" s="29">
        <v>1</v>
      </c>
      <c r="AP119" s="35">
        <v>37.875</v>
      </c>
      <c r="AQ119" s="35">
        <v>18</v>
      </c>
      <c r="AR119" s="35">
        <v>41.3333333333333</v>
      </c>
      <c r="AS119" s="35">
        <v>6</v>
      </c>
      <c r="AT119" s="35">
        <v>21</v>
      </c>
      <c r="AU119" s="35">
        <v>20</v>
      </c>
      <c r="AV119" s="35">
        <v>64</v>
      </c>
      <c r="AW119" s="35">
        <v>35.4166666666667</v>
      </c>
      <c r="AX119" s="35">
        <v>58.3333333333333</v>
      </c>
      <c r="AY119" s="35">
        <v>64.3589743589744</v>
      </c>
      <c r="AZ119" s="35">
        <v>35.3086419753086</v>
      </c>
      <c r="BA119" s="29">
        <v>2</v>
      </c>
      <c r="BB119" s="29">
        <v>0</v>
      </c>
      <c r="BC119" s="29">
        <v>0</v>
      </c>
      <c r="BD119" s="14">
        <v>0</v>
      </c>
      <c r="BE119" s="44">
        <v>1646</v>
      </c>
      <c r="BF119" s="14">
        <f t="shared" si="1"/>
        <v>0</v>
      </c>
    </row>
    <row r="120" spans="1:58">
      <c r="A120" s="14" t="s">
        <v>198</v>
      </c>
      <c r="B120" s="14" t="s">
        <v>198</v>
      </c>
      <c r="C120" s="15" t="s">
        <v>192</v>
      </c>
      <c r="D120" s="40">
        <v>19.62</v>
      </c>
      <c r="E120" s="40">
        <v>-0.484376828269742</v>
      </c>
      <c r="F120" s="40">
        <v>85.5</v>
      </c>
      <c r="G120" s="40">
        <v>0.0637892263771886</v>
      </c>
      <c r="H120" s="40">
        <v>74.38</v>
      </c>
      <c r="I120" s="40">
        <v>0.400632515606512</v>
      </c>
      <c r="J120" s="40">
        <v>7.86</v>
      </c>
      <c r="K120" s="40">
        <v>-0.494626052477334</v>
      </c>
      <c r="L120" s="40">
        <v>3.79</v>
      </c>
      <c r="M120" s="40">
        <v>-0.0405430257915717</v>
      </c>
      <c r="N120" s="40">
        <v>85.49</v>
      </c>
      <c r="O120" s="40">
        <v>-0.365848770022218</v>
      </c>
      <c r="P120" s="40">
        <v>3.04</v>
      </c>
      <c r="Q120" s="40">
        <v>-0.42827630480013</v>
      </c>
      <c r="R120" s="40">
        <v>6.31</v>
      </c>
      <c r="S120" s="40">
        <v>-0.447830216202116</v>
      </c>
      <c r="T120" s="40">
        <v>16.44</v>
      </c>
      <c r="U120" s="40">
        <v>-0.291998722590227</v>
      </c>
      <c r="V120" s="40">
        <v>9.28</v>
      </c>
      <c r="W120" s="41">
        <v>0.162093078769247</v>
      </c>
      <c r="X120" s="41"/>
      <c r="Y120" s="40"/>
      <c r="Z120" s="40">
        <v>17.73</v>
      </c>
      <c r="AA120" s="40">
        <v>0.428016128991805</v>
      </c>
      <c r="AB120" s="40">
        <v>14.93</v>
      </c>
      <c r="AC120" s="41">
        <v>-0.37990734149339</v>
      </c>
      <c r="AD120" s="41"/>
      <c r="AE120" s="40"/>
      <c r="AF120" s="40">
        <v>169.2</v>
      </c>
      <c r="AG120" s="40">
        <v>-0.482039628979422</v>
      </c>
      <c r="AH120" s="43">
        <v>49.1</v>
      </c>
      <c r="AI120" s="16">
        <v>-0.154247821406144</v>
      </c>
      <c r="AJ120" s="44">
        <v>46</v>
      </c>
      <c r="AK120" s="29">
        <v>1</v>
      </c>
      <c r="AL120" s="14">
        <v>1</v>
      </c>
      <c r="AM120" s="29">
        <v>3</v>
      </c>
      <c r="AN120" s="30">
        <v>30</v>
      </c>
      <c r="AO120" s="29">
        <v>1</v>
      </c>
      <c r="AP120" s="35">
        <v>30.625</v>
      </c>
      <c r="AQ120" s="35">
        <v>18.6666666666667</v>
      </c>
      <c r="AR120" s="35">
        <v>31</v>
      </c>
      <c r="AS120" s="35">
        <v>7</v>
      </c>
      <c r="AT120" s="35">
        <v>13</v>
      </c>
      <c r="AU120" s="35">
        <v>21</v>
      </c>
      <c r="AV120" s="35">
        <v>70.6666666666667</v>
      </c>
      <c r="AW120" s="35">
        <v>33.3333333333333</v>
      </c>
      <c r="AX120" s="35">
        <v>75</v>
      </c>
      <c r="AY120" s="35">
        <v>68.2051282051282</v>
      </c>
      <c r="AZ120" s="35">
        <v>21.141975308642</v>
      </c>
      <c r="BA120" s="29">
        <v>2</v>
      </c>
      <c r="BB120" s="29">
        <v>0</v>
      </c>
      <c r="BC120" s="29">
        <v>1</v>
      </c>
      <c r="BD120" s="14">
        <v>0</v>
      </c>
      <c r="BE120" s="44">
        <v>1618</v>
      </c>
      <c r="BF120" s="14">
        <f t="shared" si="1"/>
        <v>0</v>
      </c>
    </row>
    <row r="121" spans="1:58">
      <c r="A121" s="14" t="s">
        <v>199</v>
      </c>
      <c r="B121" s="14" t="s">
        <v>199</v>
      </c>
      <c r="C121" s="15" t="s">
        <v>192</v>
      </c>
      <c r="D121" s="40">
        <v>86.69</v>
      </c>
      <c r="E121" s="40">
        <v>1.33908462097598</v>
      </c>
      <c r="F121" s="40">
        <v>161.34</v>
      </c>
      <c r="G121" s="40">
        <v>2.96866188666659</v>
      </c>
      <c r="H121" s="40">
        <v>52.06</v>
      </c>
      <c r="I121" s="40">
        <v>-0.0639896265704257</v>
      </c>
      <c r="J121" s="40">
        <v>13.92</v>
      </c>
      <c r="K121" s="40">
        <v>-0.425814597085527</v>
      </c>
      <c r="L121" s="40">
        <v>4.26</v>
      </c>
      <c r="M121" s="40">
        <v>0.0579335743223233</v>
      </c>
      <c r="N121" s="40">
        <v>40.39</v>
      </c>
      <c r="O121" s="40">
        <v>-0.419835390087454</v>
      </c>
      <c r="P121" s="40">
        <v>9.65</v>
      </c>
      <c r="Q121" s="40">
        <v>-0.226411876133944</v>
      </c>
      <c r="R121" s="40">
        <v>10.26</v>
      </c>
      <c r="S121" s="40">
        <v>-0.331270777475797</v>
      </c>
      <c r="T121" s="40">
        <v>16.19</v>
      </c>
      <c r="U121" s="40">
        <v>-0.300511010732156</v>
      </c>
      <c r="V121" s="40">
        <v>9.69</v>
      </c>
      <c r="W121" s="41">
        <v>0.291414274129027</v>
      </c>
      <c r="X121" s="41"/>
      <c r="Y121" s="40"/>
      <c r="Z121" s="40">
        <v>17.91</v>
      </c>
      <c r="AA121" s="40">
        <v>0.45504872661234</v>
      </c>
      <c r="AB121" s="40">
        <v>15.69</v>
      </c>
      <c r="AC121" s="41">
        <v>-0.37446777293048</v>
      </c>
      <c r="AD121" s="41"/>
      <c r="AE121" s="40"/>
      <c r="AF121" s="40">
        <v>219.85</v>
      </c>
      <c r="AG121" s="40">
        <v>-0.13693085065043</v>
      </c>
      <c r="AH121" s="43">
        <v>76.8</v>
      </c>
      <c r="AI121" s="16">
        <v>-0.0739742601601023</v>
      </c>
      <c r="AJ121" s="44">
        <v>66</v>
      </c>
      <c r="AK121" s="29">
        <v>1</v>
      </c>
      <c r="AL121" s="14">
        <v>1</v>
      </c>
      <c r="AM121" s="29">
        <v>2</v>
      </c>
      <c r="AN121" s="30"/>
      <c r="AO121" s="29">
        <v>2</v>
      </c>
      <c r="AP121" s="35">
        <v>74.875</v>
      </c>
      <c r="AQ121" s="35">
        <v>48.3333333333333</v>
      </c>
      <c r="AR121" s="35">
        <v>92</v>
      </c>
      <c r="AS121" s="35">
        <v>17</v>
      </c>
      <c r="AT121" s="35">
        <v>28</v>
      </c>
      <c r="AU121" s="35">
        <v>34</v>
      </c>
      <c r="AV121" s="35">
        <v>62</v>
      </c>
      <c r="AW121" s="35">
        <v>61.1111111111111</v>
      </c>
      <c r="AX121" s="35">
        <v>83.3333333333333</v>
      </c>
      <c r="AY121" s="35">
        <v>48.5185185185185</v>
      </c>
      <c r="AZ121" s="35">
        <v>71.1728395061728</v>
      </c>
      <c r="BA121" s="29">
        <v>4</v>
      </c>
      <c r="BB121" s="29">
        <v>0</v>
      </c>
      <c r="BC121" s="29">
        <v>1</v>
      </c>
      <c r="BD121" s="14">
        <v>0</v>
      </c>
      <c r="BE121" s="44">
        <v>1420</v>
      </c>
      <c r="BF121" s="14">
        <f t="shared" si="1"/>
        <v>0</v>
      </c>
    </row>
    <row r="122" spans="1:58">
      <c r="A122" s="14" t="s">
        <v>200</v>
      </c>
      <c r="B122" s="14" t="s">
        <v>200</v>
      </c>
      <c r="C122" s="15" t="s">
        <v>192</v>
      </c>
      <c r="D122" s="40">
        <v>48.81</v>
      </c>
      <c r="E122" s="40">
        <v>0.309224479371268</v>
      </c>
      <c r="F122" s="40">
        <v>119.85</v>
      </c>
      <c r="G122" s="40">
        <v>1.37948511088327</v>
      </c>
      <c r="H122" s="40">
        <v>69.72</v>
      </c>
      <c r="I122" s="40">
        <v>0.303628071944123</v>
      </c>
      <c r="J122" s="40">
        <v>14.38</v>
      </c>
      <c r="K122" s="40">
        <v>-0.42059128529011</v>
      </c>
      <c r="L122" s="40">
        <v>3.51</v>
      </c>
      <c r="M122" s="40">
        <v>-0.099209936497722</v>
      </c>
      <c r="N122" s="40">
        <v>62.07</v>
      </c>
      <c r="O122" s="40">
        <v>-0.393883507093789</v>
      </c>
      <c r="P122" s="40">
        <v>3.33</v>
      </c>
      <c r="Q122" s="40">
        <v>-0.41941992290706</v>
      </c>
      <c r="R122" s="40">
        <v>5.67</v>
      </c>
      <c r="S122" s="40">
        <v>-0.466715796147646</v>
      </c>
      <c r="T122" s="40">
        <v>17.88</v>
      </c>
      <c r="U122" s="40">
        <v>-0.242967942892714</v>
      </c>
      <c r="V122" s="40">
        <v>9.42</v>
      </c>
      <c r="W122" s="41">
        <v>0.206251535721367</v>
      </c>
      <c r="X122" s="41"/>
      <c r="Y122" s="40"/>
      <c r="Z122" s="40">
        <v>16.71</v>
      </c>
      <c r="AA122" s="40">
        <v>0.274831409142106</v>
      </c>
      <c r="AB122" s="40">
        <v>14.21</v>
      </c>
      <c r="AC122" s="41">
        <v>-0.385060616974042</v>
      </c>
      <c r="AD122" s="41"/>
      <c r="AE122" s="40"/>
      <c r="AF122" s="40">
        <v>302.67</v>
      </c>
      <c r="AG122" s="40">
        <v>0.427371400508646</v>
      </c>
      <c r="AH122" s="43">
        <v>66.75</v>
      </c>
      <c r="AI122" s="16">
        <v>-0.103098783283666</v>
      </c>
      <c r="AJ122" s="44">
        <v>33</v>
      </c>
      <c r="AK122" s="29">
        <v>1</v>
      </c>
      <c r="AL122" s="14">
        <v>1</v>
      </c>
      <c r="AM122" s="29">
        <v>2</v>
      </c>
      <c r="AN122" s="30"/>
      <c r="AO122" s="29">
        <v>1</v>
      </c>
      <c r="AP122" s="35">
        <v>42</v>
      </c>
      <c r="AQ122" s="35">
        <v>17.6666666666667</v>
      </c>
      <c r="AR122" s="35">
        <v>52.6666666666667</v>
      </c>
      <c r="AS122" s="35">
        <v>2</v>
      </c>
      <c r="AT122" s="35">
        <v>14</v>
      </c>
      <c r="AU122" s="35">
        <v>10</v>
      </c>
      <c r="AV122" s="35">
        <v>82.3333333333333</v>
      </c>
      <c r="AW122" s="35">
        <v>20.1388888888889</v>
      </c>
      <c r="AX122" s="35">
        <v>83.3333333333333</v>
      </c>
      <c r="AY122" s="35">
        <v>80.8119658119658</v>
      </c>
      <c r="AZ122" s="35">
        <v>21.2962962962963</v>
      </c>
      <c r="BA122" s="29">
        <v>1</v>
      </c>
      <c r="BB122" s="29">
        <v>0</v>
      </c>
      <c r="BC122" s="29">
        <v>0</v>
      </c>
      <c r="BD122" s="14">
        <v>0</v>
      </c>
      <c r="BE122" s="44">
        <v>1091</v>
      </c>
      <c r="BF122" s="14">
        <f t="shared" si="1"/>
        <v>0</v>
      </c>
    </row>
    <row r="123" spans="1:58">
      <c r="A123" s="14" t="s">
        <v>201</v>
      </c>
      <c r="B123" s="14" t="s">
        <v>201</v>
      </c>
      <c r="C123" s="15" t="s">
        <v>192</v>
      </c>
      <c r="D123" s="40">
        <v>19.8</v>
      </c>
      <c r="E123" s="40">
        <v>-0.479483089476477</v>
      </c>
      <c r="F123" s="40">
        <v>109.22</v>
      </c>
      <c r="G123" s="40">
        <v>0.97232798563437</v>
      </c>
      <c r="H123" s="40">
        <v>45.44</v>
      </c>
      <c r="I123" s="40">
        <v>-0.201794222502833</v>
      </c>
      <c r="J123" s="40">
        <v>9.99</v>
      </c>
      <c r="K123" s="40">
        <v>-0.470439847859422</v>
      </c>
      <c r="L123" s="40">
        <v>5.68</v>
      </c>
      <c r="M123" s="40">
        <v>0.355458621474942</v>
      </c>
      <c r="N123" s="40">
        <v>49.34</v>
      </c>
      <c r="O123" s="40">
        <v>-0.409121859054553</v>
      </c>
      <c r="P123" s="40">
        <v>6.85</v>
      </c>
      <c r="Q123" s="40">
        <v>-0.311921770273932</v>
      </c>
      <c r="R123" s="40">
        <v>8.01</v>
      </c>
      <c r="S123" s="40">
        <v>-0.397665394471802</v>
      </c>
      <c r="T123" s="40">
        <v>19.38</v>
      </c>
      <c r="U123" s="40">
        <v>-0.191894214041139</v>
      </c>
      <c r="V123" s="40">
        <v>10.57</v>
      </c>
      <c r="W123" s="41">
        <v>0.568981717828068</v>
      </c>
      <c r="X123" s="41"/>
      <c r="Y123" s="40"/>
      <c r="Z123" s="40">
        <v>21.16</v>
      </c>
      <c r="AA123" s="40">
        <v>0.943137294760891</v>
      </c>
      <c r="AB123" s="40">
        <v>10.17</v>
      </c>
      <c r="AC123" s="41">
        <v>-0.413976218282142</v>
      </c>
      <c r="AD123" s="41"/>
      <c r="AE123" s="40"/>
      <c r="AF123" s="40">
        <v>174</v>
      </c>
      <c r="AG123" s="40">
        <v>-0.449334354823861</v>
      </c>
      <c r="AH123" s="45">
        <v>43.62</v>
      </c>
      <c r="AI123" s="16">
        <v>-0.170128655905361</v>
      </c>
      <c r="AJ123" s="44">
        <v>75</v>
      </c>
      <c r="AK123" s="29">
        <v>1</v>
      </c>
      <c r="AL123" s="14">
        <v>1</v>
      </c>
      <c r="AM123" s="29">
        <v>2</v>
      </c>
      <c r="AN123" s="30"/>
      <c r="AO123" s="29">
        <v>1</v>
      </c>
      <c r="AP123" s="35">
        <v>8.625</v>
      </c>
      <c r="AQ123" s="35">
        <v>4.66666666666667</v>
      </c>
      <c r="AR123" s="35">
        <v>15.6666666666667</v>
      </c>
      <c r="AS123" s="35">
        <v>1</v>
      </c>
      <c r="AT123" s="35">
        <v>1</v>
      </c>
      <c r="AU123" s="35">
        <v>2</v>
      </c>
      <c r="AV123" s="35">
        <v>90</v>
      </c>
      <c r="AW123" s="35">
        <v>6.25</v>
      </c>
      <c r="AX123" s="35">
        <v>66.6666666666667</v>
      </c>
      <c r="AY123" s="35">
        <v>92.3076923076923</v>
      </c>
      <c r="AZ123" s="35">
        <v>21.6666666666667</v>
      </c>
      <c r="BA123" s="29">
        <v>4</v>
      </c>
      <c r="BB123" s="29">
        <v>0</v>
      </c>
      <c r="BC123" s="29">
        <v>1</v>
      </c>
      <c r="BD123" s="14">
        <v>1</v>
      </c>
      <c r="BE123" s="44">
        <v>365</v>
      </c>
      <c r="BF123" s="14">
        <f t="shared" si="1"/>
        <v>1</v>
      </c>
    </row>
    <row r="124" spans="1:58">
      <c r="A124" s="14" t="s">
        <v>202</v>
      </c>
      <c r="B124" s="14" t="s">
        <v>202</v>
      </c>
      <c r="C124" s="15" t="s">
        <v>192</v>
      </c>
      <c r="D124" s="40">
        <v>23.34</v>
      </c>
      <c r="E124" s="40">
        <v>-0.383239559875615</v>
      </c>
      <c r="F124" s="40">
        <v>128.97</v>
      </c>
      <c r="G124" s="40">
        <v>1.72880524091807</v>
      </c>
      <c r="H124" s="40">
        <v>43.24</v>
      </c>
      <c r="I124" s="40">
        <v>-0.247590311785506</v>
      </c>
      <c r="J124" s="40">
        <v>29.53</v>
      </c>
      <c r="K124" s="40">
        <v>-0.248562646810593</v>
      </c>
      <c r="L124" s="40">
        <v>4.48</v>
      </c>
      <c r="M124" s="40">
        <v>0.10402900416287</v>
      </c>
      <c r="N124" s="40">
        <v>326.62</v>
      </c>
      <c r="O124" s="40">
        <v>-0.0772058942720971</v>
      </c>
      <c r="P124" s="40">
        <v>15.87</v>
      </c>
      <c r="Q124" s="40">
        <v>-0.0364577541515421</v>
      </c>
      <c r="R124" s="40">
        <v>18.97</v>
      </c>
      <c r="S124" s="40">
        <v>-0.0742498379045984</v>
      </c>
      <c r="T124" s="40">
        <v>31.88</v>
      </c>
      <c r="U124" s="40">
        <v>0.233720193055323</v>
      </c>
      <c r="V124" s="40">
        <v>9.69</v>
      </c>
      <c r="W124" s="41">
        <v>0.291414274129027</v>
      </c>
      <c r="X124" s="41"/>
      <c r="Y124" s="40"/>
      <c r="Z124" s="40">
        <v>13.53</v>
      </c>
      <c r="AA124" s="40">
        <v>-0.202744482154014</v>
      </c>
      <c r="AB124" s="40">
        <v>56.89</v>
      </c>
      <c r="AC124" s="41">
        <v>-0.0795858982043114</v>
      </c>
      <c r="AD124" s="41"/>
      <c r="AE124" s="40"/>
      <c r="AF124" s="40">
        <v>341.43</v>
      </c>
      <c r="AG124" s="40">
        <v>0.6914664893148</v>
      </c>
      <c r="AH124" s="45">
        <v>65.65</v>
      </c>
      <c r="AI124" s="16">
        <v>-0.106286542033509</v>
      </c>
      <c r="AJ124" s="44">
        <v>69</v>
      </c>
      <c r="AK124" s="29">
        <v>1</v>
      </c>
      <c r="AL124" s="14">
        <v>1</v>
      </c>
      <c r="AM124" s="29">
        <v>1</v>
      </c>
      <c r="AN124" s="30">
        <v>0</v>
      </c>
      <c r="AO124" s="29">
        <v>1</v>
      </c>
      <c r="AP124" s="35">
        <v>8.125</v>
      </c>
      <c r="AQ124" s="35">
        <v>5</v>
      </c>
      <c r="AR124" s="35">
        <v>10</v>
      </c>
      <c r="AS124" s="35">
        <v>0</v>
      </c>
      <c r="AT124" s="35">
        <v>0</v>
      </c>
      <c r="AU124" s="35">
        <v>14</v>
      </c>
      <c r="AV124" s="35">
        <v>100</v>
      </c>
      <c r="AW124" s="35">
        <v>0</v>
      </c>
      <c r="AX124" s="35">
        <v>91.6666666666667</v>
      </c>
      <c r="AY124" s="35">
        <v>100</v>
      </c>
      <c r="AZ124" s="35">
        <v>13.0902777777778</v>
      </c>
      <c r="BA124" s="29">
        <v>2</v>
      </c>
      <c r="BB124" s="29">
        <v>0</v>
      </c>
      <c r="BC124" s="29">
        <v>0</v>
      </c>
      <c r="BD124" s="14">
        <v>0</v>
      </c>
      <c r="BE124" s="44">
        <v>1532</v>
      </c>
      <c r="BF124" s="14">
        <f t="shared" si="1"/>
        <v>0</v>
      </c>
    </row>
    <row r="125" spans="1:58">
      <c r="A125" s="14" t="s">
        <v>203</v>
      </c>
      <c r="B125" s="14" t="s">
        <v>203</v>
      </c>
      <c r="C125" s="15" t="s">
        <v>192</v>
      </c>
      <c r="D125" s="40">
        <v>20.27</v>
      </c>
      <c r="E125" s="40">
        <v>-0.46670499373851</v>
      </c>
      <c r="F125" s="40">
        <v>133.75</v>
      </c>
      <c r="G125" s="40">
        <v>1.91189188801964</v>
      </c>
      <c r="H125" s="40">
        <v>51.57</v>
      </c>
      <c r="I125" s="40">
        <v>-0.0741896646379303</v>
      </c>
      <c r="J125" s="40">
        <v>12.76</v>
      </c>
      <c r="K125" s="40">
        <v>-0.438986426830494</v>
      </c>
      <c r="L125" s="40">
        <v>4.62</v>
      </c>
      <c r="M125" s="40">
        <v>0.133362459515945</v>
      </c>
      <c r="N125" s="40">
        <v>87.51</v>
      </c>
      <c r="O125" s="40">
        <v>-0.363430744023731</v>
      </c>
      <c r="P125" s="40">
        <v>3.04</v>
      </c>
      <c r="Q125" s="40">
        <v>-0.42827630480013</v>
      </c>
      <c r="R125" s="40">
        <v>7.25</v>
      </c>
      <c r="S125" s="40">
        <v>-0.420092020657119</v>
      </c>
      <c r="T125" s="40">
        <v>12.94</v>
      </c>
      <c r="U125" s="40">
        <v>-0.411170756577236</v>
      </c>
      <c r="V125" s="40">
        <v>10.07</v>
      </c>
      <c r="W125" s="41">
        <v>0.411272942999068</v>
      </c>
      <c r="X125" s="41"/>
      <c r="Y125" s="40"/>
      <c r="Z125" s="40">
        <v>15.76</v>
      </c>
      <c r="AA125" s="40">
        <v>0.132159366144838</v>
      </c>
      <c r="AB125" s="40">
        <v>15.34</v>
      </c>
      <c r="AC125" s="41">
        <v>-0.376972837400242</v>
      </c>
      <c r="AD125" s="41"/>
      <c r="AE125" s="40"/>
      <c r="AF125" s="40">
        <v>127.2</v>
      </c>
      <c r="AG125" s="40">
        <v>-0.768210777840581</v>
      </c>
      <c r="AH125" s="45">
        <v>54.54</v>
      </c>
      <c r="AI125" s="16">
        <v>-0.138482905406921</v>
      </c>
      <c r="AJ125" s="44">
        <v>60</v>
      </c>
      <c r="AK125" s="29">
        <v>2</v>
      </c>
      <c r="AL125" s="14">
        <v>5</v>
      </c>
      <c r="AM125" s="29">
        <v>2</v>
      </c>
      <c r="AN125" s="30"/>
      <c r="AO125" s="29">
        <v>1</v>
      </c>
      <c r="AP125" s="35">
        <v>67.5714285714286</v>
      </c>
      <c r="AQ125" s="35">
        <v>26</v>
      </c>
      <c r="AR125" s="35">
        <v>99.3333333333333</v>
      </c>
      <c r="AS125" s="35">
        <v>2</v>
      </c>
      <c r="AT125" s="35">
        <v>3</v>
      </c>
      <c r="AU125" s="35">
        <v>26</v>
      </c>
      <c r="AV125" s="35">
        <v>83.3333333333333</v>
      </c>
      <c r="AW125" s="35">
        <v>23.015873015873</v>
      </c>
      <c r="AX125" s="35">
        <v>33.3333333333333</v>
      </c>
      <c r="AY125" s="35">
        <v>79.6296296296296</v>
      </c>
      <c r="AZ125" s="35">
        <v>22.6666666666667</v>
      </c>
      <c r="BA125" s="29">
        <v>2</v>
      </c>
      <c r="BB125" s="29">
        <v>0</v>
      </c>
      <c r="BC125" s="29">
        <v>1</v>
      </c>
      <c r="BD125" s="14">
        <v>1</v>
      </c>
      <c r="BE125" s="44">
        <v>273</v>
      </c>
      <c r="BF125" s="14">
        <f t="shared" si="1"/>
        <v>1</v>
      </c>
    </row>
    <row r="126" spans="1:58">
      <c r="A126" s="14" t="s">
        <v>204</v>
      </c>
      <c r="B126" s="14" t="s">
        <v>204</v>
      </c>
      <c r="C126" s="15" t="s">
        <v>192</v>
      </c>
      <c r="D126" s="40">
        <v>14.63</v>
      </c>
      <c r="E126" s="40">
        <v>-0.620042142594121</v>
      </c>
      <c r="F126" s="40">
        <v>86.87</v>
      </c>
      <c r="G126" s="40">
        <v>0.116263851174083</v>
      </c>
      <c r="H126" s="40">
        <v>42.99</v>
      </c>
      <c r="I126" s="40">
        <v>-0.252794412840355</v>
      </c>
      <c r="J126" s="40">
        <v>7.98</v>
      </c>
      <c r="K126" s="40">
        <v>-0.493263449400269</v>
      </c>
      <c r="L126" s="40">
        <v>2.78</v>
      </c>
      <c r="M126" s="40">
        <v>-0.252162953695899</v>
      </c>
      <c r="N126" s="40">
        <v>41.54</v>
      </c>
      <c r="O126" s="40">
        <v>-0.41845879112792</v>
      </c>
      <c r="P126" s="40">
        <v>3.58</v>
      </c>
      <c r="Q126" s="40">
        <v>-0.411785110930275</v>
      </c>
      <c r="R126" s="40">
        <v>3.56</v>
      </c>
      <c r="S126" s="40">
        <v>-0.528979192530566</v>
      </c>
      <c r="T126" s="40">
        <v>7.34</v>
      </c>
      <c r="U126" s="40">
        <v>-0.601846010956451</v>
      </c>
      <c r="V126" s="40">
        <v>8.2</v>
      </c>
      <c r="W126" s="41">
        <v>-0.178557874861395</v>
      </c>
      <c r="X126" s="41"/>
      <c r="Y126" s="40"/>
      <c r="Z126" s="40">
        <v>12.28</v>
      </c>
      <c r="AA126" s="40">
        <v>-0.390470854518841</v>
      </c>
      <c r="AB126" s="40">
        <v>7.58</v>
      </c>
      <c r="AC126" s="41">
        <v>-0.432513695358374</v>
      </c>
      <c r="AD126" s="41"/>
      <c r="AE126" s="40"/>
      <c r="AF126" s="40">
        <v>281.11</v>
      </c>
      <c r="AG126" s="40">
        <v>0.280470210759917</v>
      </c>
      <c r="AH126" s="45">
        <v>67.31</v>
      </c>
      <c r="AI126" s="16">
        <v>-0.101475924283746</v>
      </c>
      <c r="AJ126" s="44">
        <v>59</v>
      </c>
      <c r="AK126" s="29">
        <v>1</v>
      </c>
      <c r="AL126" s="14">
        <v>1</v>
      </c>
      <c r="AM126" s="29">
        <v>3</v>
      </c>
      <c r="AN126" s="30">
        <v>80</v>
      </c>
      <c r="AO126" s="29">
        <v>3</v>
      </c>
      <c r="AP126" s="35">
        <v>100</v>
      </c>
      <c r="AQ126" s="35">
        <v>100</v>
      </c>
      <c r="AR126" s="35">
        <v>100</v>
      </c>
      <c r="AS126" s="35">
        <v>20</v>
      </c>
      <c r="AT126" s="35">
        <v>40</v>
      </c>
      <c r="AU126" s="35">
        <v>40</v>
      </c>
      <c r="AV126" s="35">
        <v>25</v>
      </c>
      <c r="AW126" s="35">
        <v>77.0833333333333</v>
      </c>
      <c r="AX126" s="35">
        <v>0</v>
      </c>
      <c r="AY126" s="35">
        <v>23.7179487179487</v>
      </c>
      <c r="AZ126" s="35">
        <v>75</v>
      </c>
      <c r="BA126" s="29">
        <v>2</v>
      </c>
      <c r="BB126" s="29">
        <v>0</v>
      </c>
      <c r="BC126" s="29">
        <v>1</v>
      </c>
      <c r="BD126" s="14">
        <v>0</v>
      </c>
      <c r="BE126" s="44">
        <v>1267</v>
      </c>
      <c r="BF126" s="14">
        <f t="shared" si="1"/>
        <v>0</v>
      </c>
    </row>
    <row r="127" spans="1:58">
      <c r="A127" s="14" t="s">
        <v>205</v>
      </c>
      <c r="B127" s="14" t="s">
        <v>205</v>
      </c>
      <c r="C127" s="15" t="s">
        <v>192</v>
      </c>
      <c r="D127" s="40">
        <v>15.95</v>
      </c>
      <c r="E127" s="40">
        <v>-0.58415472477685</v>
      </c>
      <c r="F127" s="40">
        <v>96.93</v>
      </c>
      <c r="G127" s="40">
        <v>0.501588468295805</v>
      </c>
      <c r="H127" s="40">
        <v>58.68</v>
      </c>
      <c r="I127" s="40">
        <v>0.0738149693619814</v>
      </c>
      <c r="J127" s="40">
        <v>10.05</v>
      </c>
      <c r="K127" s="40">
        <v>-0.469758546320889</v>
      </c>
      <c r="L127" s="40">
        <v>3.72</v>
      </c>
      <c r="M127" s="40">
        <v>-0.0552097534681093</v>
      </c>
      <c r="N127" s="40">
        <v>78.85</v>
      </c>
      <c r="O127" s="40">
        <v>-0.373797132710315</v>
      </c>
      <c r="P127" s="40">
        <v>5.55</v>
      </c>
      <c r="Q127" s="40">
        <v>-0.351622792553212</v>
      </c>
      <c r="R127" s="40">
        <v>8.2</v>
      </c>
      <c r="S127" s="40">
        <v>-0.392058737925473</v>
      </c>
      <c r="T127" s="40">
        <v>12.09</v>
      </c>
      <c r="U127" s="40">
        <v>-0.440112536259795</v>
      </c>
      <c r="V127" s="40">
        <v>7.86</v>
      </c>
      <c r="W127" s="41">
        <v>-0.285799841745115</v>
      </c>
      <c r="X127" s="41"/>
      <c r="Y127" s="40"/>
      <c r="Z127" s="40">
        <v>13.39</v>
      </c>
      <c r="AA127" s="40">
        <v>-0.223769835858875</v>
      </c>
      <c r="AB127" s="40">
        <v>11.74</v>
      </c>
      <c r="AC127" s="41">
        <v>-0.402739214803499</v>
      </c>
      <c r="AD127" s="41"/>
      <c r="AE127" s="40"/>
      <c r="AF127" s="40">
        <v>122.46</v>
      </c>
      <c r="AG127" s="40">
        <v>-0.800507236069198</v>
      </c>
      <c r="AH127" s="45">
        <v>39.05</v>
      </c>
      <c r="AI127" s="16">
        <v>-0.183372344529708</v>
      </c>
      <c r="AJ127" s="44">
        <v>53</v>
      </c>
      <c r="AK127" s="29">
        <v>1</v>
      </c>
      <c r="AL127" s="14">
        <v>1</v>
      </c>
      <c r="AM127" s="29">
        <v>2</v>
      </c>
      <c r="AN127" s="30"/>
      <c r="AO127" s="29">
        <v>1</v>
      </c>
      <c r="AP127" s="35">
        <v>32.5</v>
      </c>
      <c r="AQ127" s="35">
        <v>24.3333333333333</v>
      </c>
      <c r="AR127" s="35">
        <v>44.6666666666667</v>
      </c>
      <c r="AS127" s="35">
        <v>7</v>
      </c>
      <c r="AT127" s="35">
        <v>7</v>
      </c>
      <c r="AU127" s="35">
        <v>7</v>
      </c>
      <c r="AV127" s="35">
        <v>87.6666666666667</v>
      </c>
      <c r="AW127" s="35">
        <v>9.02777777777778</v>
      </c>
      <c r="AX127" s="35">
        <v>66.6666666666667</v>
      </c>
      <c r="AY127" s="35">
        <v>89.7008547008547</v>
      </c>
      <c r="AZ127" s="35">
        <v>18.7037037037037</v>
      </c>
      <c r="BA127" s="29">
        <v>4</v>
      </c>
      <c r="BB127" s="29">
        <v>0</v>
      </c>
      <c r="BC127" s="29">
        <v>0</v>
      </c>
      <c r="BD127" s="14">
        <v>0</v>
      </c>
      <c r="BE127" s="44">
        <v>1235</v>
      </c>
      <c r="BF127" s="14">
        <f t="shared" si="1"/>
        <v>0</v>
      </c>
    </row>
    <row r="128" spans="1:58">
      <c r="A128" s="14" t="s">
        <v>206</v>
      </c>
      <c r="B128" s="14" t="s">
        <v>206</v>
      </c>
      <c r="C128" s="15" t="s">
        <v>192</v>
      </c>
      <c r="D128" s="40">
        <v>18.87</v>
      </c>
      <c r="E128" s="40">
        <v>-0.504767406575009</v>
      </c>
      <c r="F128" s="40">
        <v>92.28</v>
      </c>
      <c r="G128" s="40">
        <v>0.323481165153061</v>
      </c>
      <c r="H128" s="40">
        <v>75.12</v>
      </c>
      <c r="I128" s="40">
        <v>0.416036654728866</v>
      </c>
      <c r="J128" s="40">
        <v>12.3</v>
      </c>
      <c r="K128" s="40">
        <v>-0.444209738625911</v>
      </c>
      <c r="L128" s="40">
        <v>4.65</v>
      </c>
      <c r="M128" s="40">
        <v>0.139648199948747</v>
      </c>
      <c r="N128" s="40">
        <v>87.51</v>
      </c>
      <c r="O128" s="40">
        <v>-0.363430744023731</v>
      </c>
      <c r="P128" s="40">
        <v>3.12</v>
      </c>
      <c r="Q128" s="40">
        <v>-0.425833164967559</v>
      </c>
      <c r="R128" s="40">
        <v>11.52</v>
      </c>
      <c r="S128" s="40">
        <v>-0.294089791958035</v>
      </c>
      <c r="T128" s="40">
        <v>13.42</v>
      </c>
      <c r="U128" s="40">
        <v>-0.394827163344732</v>
      </c>
      <c r="V128" s="40">
        <v>9.71</v>
      </c>
      <c r="W128" s="41">
        <v>0.297722625122188</v>
      </c>
      <c r="X128" s="41"/>
      <c r="Y128" s="40"/>
      <c r="Z128" s="40">
        <v>21.72</v>
      </c>
      <c r="AA128" s="40">
        <v>1.02723870958033</v>
      </c>
      <c r="AB128" s="40">
        <v>12.36</v>
      </c>
      <c r="AC128" s="41">
        <v>-0.398301672028494</v>
      </c>
      <c r="AD128" s="41"/>
      <c r="AE128" s="40"/>
      <c r="AF128" s="40">
        <v>106.91</v>
      </c>
      <c r="AG128" s="40">
        <v>-0.90645869713565</v>
      </c>
      <c r="AH128" s="45">
        <v>57.7</v>
      </c>
      <c r="AI128" s="16">
        <v>-0.129325343907373</v>
      </c>
      <c r="AJ128" s="44">
        <v>62</v>
      </c>
      <c r="AK128" s="29">
        <v>2</v>
      </c>
      <c r="AL128" s="14">
        <v>1</v>
      </c>
      <c r="AM128" s="29">
        <v>1</v>
      </c>
      <c r="AN128" s="30">
        <v>0</v>
      </c>
      <c r="AO128" s="29">
        <v>1</v>
      </c>
      <c r="AP128" s="35">
        <v>4.25</v>
      </c>
      <c r="AQ128" s="35">
        <v>3</v>
      </c>
      <c r="AR128" s="35">
        <v>6.33333333333333</v>
      </c>
      <c r="AS128" s="35">
        <v>0</v>
      </c>
      <c r="AT128" s="35">
        <v>0</v>
      </c>
      <c r="AU128" s="35">
        <v>2</v>
      </c>
      <c r="AV128" s="35">
        <v>93.6666666666667</v>
      </c>
      <c r="AW128" s="35">
        <v>8.33333333333333</v>
      </c>
      <c r="AX128" s="35">
        <v>83.3333333333333</v>
      </c>
      <c r="AY128" s="35">
        <v>92.4358974358974</v>
      </c>
      <c r="AZ128" s="35"/>
      <c r="BA128" s="29">
        <v>1</v>
      </c>
      <c r="BB128" s="29">
        <v>0</v>
      </c>
      <c r="BC128" s="29">
        <v>0</v>
      </c>
      <c r="BD128" s="14">
        <v>0</v>
      </c>
      <c r="BE128" s="44">
        <v>1049</v>
      </c>
      <c r="BF128" s="14">
        <f t="shared" si="1"/>
        <v>0</v>
      </c>
    </row>
    <row r="129" spans="1:58">
      <c r="A129" s="14" t="s">
        <v>207</v>
      </c>
      <c r="B129" s="14" t="s">
        <v>207</v>
      </c>
      <c r="C129" s="15" t="s">
        <v>192</v>
      </c>
      <c r="D129" s="40">
        <v>31.88</v>
      </c>
      <c r="E129" s="40">
        <v>-0.15105884157297</v>
      </c>
      <c r="F129" s="40">
        <v>104.1</v>
      </c>
      <c r="G129" s="40">
        <v>0.776218438948165</v>
      </c>
      <c r="H129" s="40">
        <v>93.51</v>
      </c>
      <c r="I129" s="40">
        <v>0.798850328323574</v>
      </c>
      <c r="J129" s="40">
        <v>162.03</v>
      </c>
      <c r="K129" s="40">
        <v>1.25597825078254</v>
      </c>
      <c r="L129" s="40">
        <v>5.44</v>
      </c>
      <c r="M129" s="40">
        <v>0.305172698012528</v>
      </c>
      <c r="N129" s="40">
        <v>1809</v>
      </c>
      <c r="O129" s="40">
        <v>1.69726607584553</v>
      </c>
      <c r="P129" s="40">
        <v>65.96</v>
      </c>
      <c r="Q129" s="40">
        <v>1.49325317351703</v>
      </c>
      <c r="R129" s="40">
        <v>70.32</v>
      </c>
      <c r="S129" s="40">
        <v>1.44102286553755</v>
      </c>
      <c r="T129" s="40">
        <v>48.28</v>
      </c>
      <c r="U129" s="40">
        <v>0.79212629516588</v>
      </c>
      <c r="V129" s="40">
        <v>14.09</v>
      </c>
      <c r="W129" s="41">
        <v>1.67925149262423</v>
      </c>
      <c r="X129" s="41"/>
      <c r="Y129" s="40"/>
      <c r="Z129" s="40">
        <v>19.39</v>
      </c>
      <c r="AA129" s="40">
        <v>0.677316751492296</v>
      </c>
      <c r="AB129" s="40">
        <v>273.92</v>
      </c>
      <c r="AC129" s="41">
        <v>1.47376879285929</v>
      </c>
      <c r="AD129" s="41"/>
      <c r="AE129" s="40"/>
      <c r="AF129" s="40">
        <v>100.12</v>
      </c>
      <c r="AG129" s="40">
        <v>-0.952723032868204</v>
      </c>
      <c r="AH129" s="45">
        <v>47.22</v>
      </c>
      <c r="AI129" s="16">
        <v>-0.159695990905875</v>
      </c>
      <c r="AJ129" s="44">
        <v>73</v>
      </c>
      <c r="AK129" s="29">
        <v>1</v>
      </c>
      <c r="AL129" s="14">
        <v>1</v>
      </c>
      <c r="AM129" s="29">
        <v>2</v>
      </c>
      <c r="AN129" s="30"/>
      <c r="AO129" s="29">
        <v>1</v>
      </c>
      <c r="AP129" s="35">
        <v>78.75</v>
      </c>
      <c r="AQ129" s="35">
        <v>56.6666666666667</v>
      </c>
      <c r="AR129" s="35">
        <v>100</v>
      </c>
      <c r="AS129" s="35">
        <v>22</v>
      </c>
      <c r="AT129" s="35">
        <v>34</v>
      </c>
      <c r="AU129" s="35">
        <v>32.5</v>
      </c>
      <c r="AV129" s="35">
        <v>12.6666666666667</v>
      </c>
      <c r="AW129" s="35">
        <v>64.5833333333333</v>
      </c>
      <c r="AX129" s="35">
        <v>0</v>
      </c>
      <c r="AY129" s="35">
        <v>26.6666666666667</v>
      </c>
      <c r="AZ129" s="35">
        <v>47.9938271604938</v>
      </c>
      <c r="BA129" s="29">
        <v>5</v>
      </c>
      <c r="BB129" s="29">
        <v>0</v>
      </c>
      <c r="BC129" s="29">
        <v>1</v>
      </c>
      <c r="BD129" s="14">
        <v>1</v>
      </c>
      <c r="BE129" s="44">
        <v>61</v>
      </c>
      <c r="BF129" s="14">
        <f t="shared" si="1"/>
        <v>1</v>
      </c>
    </row>
    <row r="130" spans="1:58">
      <c r="A130" s="14" t="s">
        <v>208</v>
      </c>
      <c r="B130" s="14" t="s">
        <v>208</v>
      </c>
      <c r="C130" s="15" t="s">
        <v>192</v>
      </c>
      <c r="D130" s="40">
        <v>48.91</v>
      </c>
      <c r="E130" s="40">
        <v>0.311943223145303</v>
      </c>
      <c r="F130" s="40">
        <v>95.61</v>
      </c>
      <c r="G130" s="40">
        <v>0.451028975790768</v>
      </c>
      <c r="H130" s="40">
        <v>76.1</v>
      </c>
      <c r="I130" s="40">
        <v>0.436436730863875</v>
      </c>
      <c r="J130" s="40">
        <v>10.65</v>
      </c>
      <c r="K130" s="40">
        <v>-0.462945530935562</v>
      </c>
      <c r="L130" s="40">
        <v>3.76</v>
      </c>
      <c r="M130" s="40">
        <v>-0.0468287662243736</v>
      </c>
      <c r="N130" s="40">
        <v>14.15</v>
      </c>
      <c r="O130" s="40">
        <v>-0.451245787216319</v>
      </c>
      <c r="P130" s="40">
        <v>4.48</v>
      </c>
      <c r="Q130" s="40">
        <v>-0.38429978781385</v>
      </c>
      <c r="R130" s="40">
        <v>14</v>
      </c>
      <c r="S130" s="40">
        <v>-0.220908169669106</v>
      </c>
      <c r="T130" s="40">
        <v>13.54</v>
      </c>
      <c r="U130" s="40">
        <v>-0.390741265036606</v>
      </c>
      <c r="V130" s="40">
        <v>9.3</v>
      </c>
      <c r="W130" s="41">
        <v>0.168401429762407</v>
      </c>
      <c r="X130" s="41"/>
      <c r="Y130" s="40"/>
      <c r="Z130" s="40">
        <v>18.33</v>
      </c>
      <c r="AA130" s="40">
        <v>0.518124787726922</v>
      </c>
      <c r="AB130" s="40">
        <v>14.01</v>
      </c>
      <c r="AC130" s="41">
        <v>-0.386492082385334</v>
      </c>
      <c r="AD130" s="41"/>
      <c r="AE130" s="40"/>
      <c r="AF130" s="40">
        <v>156.02</v>
      </c>
      <c r="AG130" s="40">
        <v>-0.571842860931567</v>
      </c>
      <c r="AH130" s="45">
        <v>48.35</v>
      </c>
      <c r="AI130" s="23">
        <v>-0.156421293281037</v>
      </c>
      <c r="AJ130" s="24">
        <v>57</v>
      </c>
      <c r="AK130" s="29">
        <v>1</v>
      </c>
      <c r="AL130" s="14">
        <v>3</v>
      </c>
      <c r="AM130" s="29">
        <v>2</v>
      </c>
      <c r="AN130" s="30"/>
      <c r="AO130" s="29">
        <v>2</v>
      </c>
      <c r="AP130" s="35">
        <v>29.25</v>
      </c>
      <c r="AQ130" s="35">
        <v>34</v>
      </c>
      <c r="AR130" s="35">
        <v>29.6666666666667</v>
      </c>
      <c r="AS130" s="35">
        <v>18</v>
      </c>
      <c r="AT130" s="35">
        <v>20</v>
      </c>
      <c r="AU130" s="35">
        <v>20</v>
      </c>
      <c r="AV130" s="35">
        <v>74.3333333333333</v>
      </c>
      <c r="AW130" s="35">
        <v>36.8055555555556</v>
      </c>
      <c r="AX130" s="35">
        <v>50</v>
      </c>
      <c r="AY130" s="35">
        <v>67.4786324786325</v>
      </c>
      <c r="AZ130" s="35">
        <v>65.9259259259259</v>
      </c>
      <c r="BA130" s="29">
        <v>5</v>
      </c>
      <c r="BB130" s="29">
        <v>1</v>
      </c>
      <c r="BC130" s="29">
        <v>1</v>
      </c>
      <c r="BD130" s="14">
        <v>1</v>
      </c>
      <c r="BE130" s="44">
        <v>61</v>
      </c>
      <c r="BF130" s="14">
        <f t="shared" si="1"/>
        <v>1</v>
      </c>
    </row>
    <row r="131" spans="1:58">
      <c r="A131" s="14" t="s">
        <v>209</v>
      </c>
      <c r="B131" s="14" t="s">
        <v>209</v>
      </c>
      <c r="C131" s="15" t="s">
        <v>192</v>
      </c>
      <c r="D131" s="40">
        <v>28.66</v>
      </c>
      <c r="E131" s="40">
        <v>-0.238602391096918</v>
      </c>
      <c r="F131" s="40">
        <v>108.59</v>
      </c>
      <c r="G131" s="40">
        <v>0.948197318756966</v>
      </c>
      <c r="H131" s="40">
        <v>62.11</v>
      </c>
      <c r="I131" s="40">
        <v>0.145215235834513</v>
      </c>
      <c r="J131" s="40">
        <v>38.36</v>
      </c>
      <c r="K131" s="40">
        <v>-0.148297770389858</v>
      </c>
      <c r="L131" s="40">
        <v>4.28</v>
      </c>
      <c r="M131" s="40">
        <v>0.0621240679441912</v>
      </c>
      <c r="N131" s="40">
        <v>208.05</v>
      </c>
      <c r="O131" s="40">
        <v>-0.219139232213008</v>
      </c>
      <c r="P131" s="40">
        <v>11.9</v>
      </c>
      <c r="Q131" s="40">
        <v>-0.157698568342882</v>
      </c>
      <c r="R131" s="40">
        <v>9.28</v>
      </c>
      <c r="S131" s="40">
        <v>-0.36018932176739</v>
      </c>
      <c r="T131" s="40">
        <v>28.74</v>
      </c>
      <c r="U131" s="40">
        <v>0.126805853992691</v>
      </c>
      <c r="V131" s="40">
        <v>14.14</v>
      </c>
      <c r="W131" s="41">
        <v>1.69502237010713</v>
      </c>
      <c r="X131" s="41"/>
      <c r="Y131" s="40"/>
      <c r="Z131" s="40">
        <v>16.52</v>
      </c>
      <c r="AA131" s="40">
        <v>0.246297000542653</v>
      </c>
      <c r="AB131" s="40">
        <v>27.27</v>
      </c>
      <c r="AC131" s="41">
        <v>-0.291585925616669</v>
      </c>
      <c r="AD131" s="41"/>
      <c r="AE131" s="40"/>
      <c r="AF131" s="40">
        <v>138.01</v>
      </c>
      <c r="AG131" s="40">
        <v>-0.694555775002745</v>
      </c>
      <c r="AH131" s="45">
        <v>27.81</v>
      </c>
      <c r="AI131" s="23">
        <v>-0.215945443028102</v>
      </c>
      <c r="AJ131" s="24">
        <v>54</v>
      </c>
      <c r="AK131" s="29">
        <v>1</v>
      </c>
      <c r="AL131" s="14">
        <v>1</v>
      </c>
      <c r="AM131" s="29">
        <v>1</v>
      </c>
      <c r="AN131" s="30">
        <v>45</v>
      </c>
      <c r="AO131" s="29">
        <v>1</v>
      </c>
      <c r="AP131" s="35">
        <v>0</v>
      </c>
      <c r="AQ131" s="35">
        <v>0</v>
      </c>
      <c r="AR131" s="35">
        <v>0</v>
      </c>
      <c r="AS131" s="35">
        <v>0</v>
      </c>
      <c r="AT131" s="35">
        <v>0</v>
      </c>
      <c r="AU131" s="35">
        <v>0</v>
      </c>
      <c r="AV131" s="35">
        <v>96.6666666666667</v>
      </c>
      <c r="AW131" s="35">
        <v>0</v>
      </c>
      <c r="AX131" s="35">
        <v>66.6666666666667</v>
      </c>
      <c r="AY131" s="35">
        <v>98.7179487179487</v>
      </c>
      <c r="AZ131" s="35">
        <v>2.22222222222222</v>
      </c>
      <c r="BA131" s="29">
        <v>4</v>
      </c>
      <c r="BB131" s="29">
        <v>0</v>
      </c>
      <c r="BC131" s="29">
        <v>0</v>
      </c>
      <c r="BD131" s="14">
        <v>0</v>
      </c>
      <c r="BE131" s="44">
        <v>1382</v>
      </c>
      <c r="BF131" s="14">
        <f t="shared" ref="BF131:BF194" si="2">IF(BE131&gt;730,0,IF(BD131=1,1,0))</f>
        <v>0</v>
      </c>
    </row>
    <row r="132" spans="1:58">
      <c r="A132" s="14" t="s">
        <v>210</v>
      </c>
      <c r="B132" s="14" t="s">
        <v>210</v>
      </c>
      <c r="C132" s="15" t="s">
        <v>192</v>
      </c>
      <c r="D132" s="40">
        <v>22.38</v>
      </c>
      <c r="E132" s="40">
        <v>-0.409339500106357</v>
      </c>
      <c r="F132" s="40">
        <v>91.61</v>
      </c>
      <c r="G132" s="40">
        <v>0.297818392442171</v>
      </c>
      <c r="H132" s="40">
        <v>64.57</v>
      </c>
      <c r="I132" s="40">
        <v>0.196423590214229</v>
      </c>
      <c r="J132" s="40">
        <v>123.03</v>
      </c>
      <c r="K132" s="40">
        <v>0.813132250736262</v>
      </c>
      <c r="L132" s="40">
        <v>5.03</v>
      </c>
      <c r="M132" s="40">
        <v>0.219267578764237</v>
      </c>
      <c r="N132" s="40">
        <v>1106</v>
      </c>
      <c r="O132" s="40">
        <v>0.85574514666901</v>
      </c>
      <c r="P132" s="40">
        <v>52.01</v>
      </c>
      <c r="Q132" s="40">
        <v>1.06723066521245</v>
      </c>
      <c r="R132" s="40">
        <v>50.31</v>
      </c>
      <c r="S132" s="40">
        <v>0.85055340505308</v>
      </c>
      <c r="T132" s="40">
        <v>53.84</v>
      </c>
      <c r="U132" s="40">
        <v>0.981439583442386</v>
      </c>
      <c r="V132" s="40">
        <v>11.33</v>
      </c>
      <c r="W132" s="41">
        <v>0.808699055568149</v>
      </c>
      <c r="X132" s="41"/>
      <c r="Y132" s="40"/>
      <c r="Z132" s="40">
        <v>21.1</v>
      </c>
      <c r="AA132" s="40">
        <v>0.93412642888738</v>
      </c>
      <c r="AB132" s="40">
        <v>161.4</v>
      </c>
      <c r="AC132" s="41">
        <v>0.668426352466367</v>
      </c>
      <c r="AD132" s="41"/>
      <c r="AE132" s="40"/>
      <c r="AF132" s="40">
        <v>98.97</v>
      </c>
      <c r="AG132" s="40">
        <v>-0.960558671467974</v>
      </c>
      <c r="AH132" s="45">
        <v>47.22</v>
      </c>
      <c r="AI132" s="23">
        <v>-0.159695990905875</v>
      </c>
      <c r="AJ132" s="24">
        <v>73</v>
      </c>
      <c r="AK132" s="29">
        <v>1</v>
      </c>
      <c r="AL132" s="14">
        <v>1</v>
      </c>
      <c r="AM132" s="29">
        <v>1</v>
      </c>
      <c r="AN132" s="30">
        <v>68</v>
      </c>
      <c r="AO132" s="29">
        <v>3</v>
      </c>
      <c r="AP132" s="35">
        <v>51.875</v>
      </c>
      <c r="AQ132" s="35">
        <v>37.3333333333333</v>
      </c>
      <c r="AR132" s="35">
        <v>66</v>
      </c>
      <c r="AS132" s="35">
        <v>12</v>
      </c>
      <c r="AT132" s="35">
        <v>21</v>
      </c>
      <c r="AU132" s="35">
        <v>15</v>
      </c>
      <c r="AV132" s="35">
        <v>71</v>
      </c>
      <c r="AW132" s="35">
        <v>29.1666666666667</v>
      </c>
      <c r="AX132" s="35">
        <v>41.6666666666667</v>
      </c>
      <c r="AY132" s="35">
        <v>70.8974358974359</v>
      </c>
      <c r="AZ132" s="35">
        <v>27.0833333333333</v>
      </c>
      <c r="BA132" s="29">
        <v>3</v>
      </c>
      <c r="BB132" s="29">
        <v>0</v>
      </c>
      <c r="BC132" s="29">
        <v>1</v>
      </c>
      <c r="BD132" s="14">
        <v>0</v>
      </c>
      <c r="BE132" s="44">
        <v>1421</v>
      </c>
      <c r="BF132" s="14">
        <f t="shared" si="2"/>
        <v>0</v>
      </c>
    </row>
    <row r="133" spans="1:58">
      <c r="A133" s="14" t="s">
        <v>211</v>
      </c>
      <c r="B133" s="14" t="s">
        <v>211</v>
      </c>
      <c r="C133" s="15" t="s">
        <v>192</v>
      </c>
      <c r="D133" s="43">
        <v>124.14</v>
      </c>
      <c r="E133" s="43">
        <v>2.35725416435233</v>
      </c>
      <c r="F133" s="43">
        <v>67.04</v>
      </c>
      <c r="G133" s="43">
        <v>-0.643277615776587</v>
      </c>
      <c r="H133" s="43">
        <v>34.68</v>
      </c>
      <c r="I133" s="43">
        <v>-0.425778731903543</v>
      </c>
      <c r="J133" s="43">
        <v>15.12</v>
      </c>
      <c r="K133" s="43">
        <v>-0.412188566314873</v>
      </c>
      <c r="L133" s="43">
        <v>3.48</v>
      </c>
      <c r="M133" s="43">
        <v>-0.105495676930524</v>
      </c>
      <c r="N133" s="43">
        <v>34.93</v>
      </c>
      <c r="O133" s="43">
        <v>-0.426371242538811</v>
      </c>
      <c r="P133" s="43">
        <v>2.24</v>
      </c>
      <c r="Q133" s="43">
        <v>-0.452707703125841</v>
      </c>
      <c r="R133" s="43">
        <v>6.94</v>
      </c>
      <c r="S133" s="43">
        <v>-0.429239723443235</v>
      </c>
      <c r="T133" s="43">
        <v>17.82</v>
      </c>
      <c r="U133" s="43">
        <v>-0.245010892046777</v>
      </c>
      <c r="V133" s="43">
        <v>10.65</v>
      </c>
      <c r="W133" s="41">
        <v>0.594215121800708</v>
      </c>
      <c r="X133" s="41"/>
      <c r="Y133" s="40"/>
      <c r="Z133" s="40">
        <v>21.54</v>
      </c>
      <c r="AA133" s="40">
        <v>1.0002061119598</v>
      </c>
      <c r="AB133" s="40">
        <v>10.06</v>
      </c>
      <c r="AC133" s="41">
        <v>-0.414763524258353</v>
      </c>
      <c r="AD133" s="41"/>
      <c r="AE133" s="40"/>
      <c r="AF133" s="40">
        <v>97.07</v>
      </c>
      <c r="AG133" s="40">
        <v>-0.97350450915455</v>
      </c>
      <c r="AH133" s="45">
        <v>59.93</v>
      </c>
      <c r="AI133" s="23">
        <v>-0.122862887532692</v>
      </c>
      <c r="AJ133" s="24">
        <v>59</v>
      </c>
      <c r="AK133" s="29">
        <v>1</v>
      </c>
      <c r="AL133" s="14">
        <v>1</v>
      </c>
      <c r="AM133" s="29">
        <v>2</v>
      </c>
      <c r="AN133" s="30"/>
      <c r="AO133" s="29">
        <v>1</v>
      </c>
      <c r="AP133" s="35">
        <v>48.75</v>
      </c>
      <c r="AQ133" s="35">
        <v>21.6666666666667</v>
      </c>
      <c r="AR133" s="35">
        <v>50</v>
      </c>
      <c r="AS133" s="35">
        <v>16</v>
      </c>
      <c r="AT133" s="35">
        <v>32</v>
      </c>
      <c r="AU133" s="35">
        <v>24</v>
      </c>
      <c r="AV133" s="35">
        <v>57.3333333333333</v>
      </c>
      <c r="AW133" s="35">
        <v>43.75</v>
      </c>
      <c r="AX133" s="35">
        <v>33.3333333333333</v>
      </c>
      <c r="AY133" s="35">
        <v>56.6666666666667</v>
      </c>
      <c r="AZ133" s="35">
        <v>36.2654320987654</v>
      </c>
      <c r="BA133" s="29">
        <v>5</v>
      </c>
      <c r="BB133" s="29">
        <v>0</v>
      </c>
      <c r="BC133" s="29">
        <v>1</v>
      </c>
      <c r="BD133" s="14">
        <v>1</v>
      </c>
      <c r="BE133" s="44">
        <v>1066</v>
      </c>
      <c r="BF133" s="14">
        <f t="shared" si="2"/>
        <v>0</v>
      </c>
    </row>
    <row r="134" spans="1:58">
      <c r="A134" s="14" t="s">
        <v>212</v>
      </c>
      <c r="B134" s="14" t="s">
        <v>212</v>
      </c>
      <c r="C134" s="15" t="s">
        <v>192</v>
      </c>
      <c r="D134" s="40">
        <v>36.04</v>
      </c>
      <c r="E134" s="40">
        <v>-0.0379591005730861</v>
      </c>
      <c r="F134" s="40">
        <v>135.53</v>
      </c>
      <c r="G134" s="40">
        <v>1.98007059760977</v>
      </c>
      <c r="H134" s="40">
        <v>114.31</v>
      </c>
      <c r="I134" s="40">
        <v>1.23183153608703</v>
      </c>
      <c r="J134" s="40">
        <v>201.62</v>
      </c>
      <c r="K134" s="40">
        <v>1.70552371595773</v>
      </c>
      <c r="L134" s="40">
        <v>7.15</v>
      </c>
      <c r="M134" s="40">
        <v>0.663459902682231</v>
      </c>
      <c r="N134" s="40">
        <v>1647</v>
      </c>
      <c r="O134" s="40">
        <v>1.50334517893715</v>
      </c>
      <c r="P134" s="40">
        <v>75.92</v>
      </c>
      <c r="Q134" s="40">
        <v>1.79742408267213</v>
      </c>
      <c r="R134" s="40">
        <v>68.26</v>
      </c>
      <c r="S134" s="40">
        <v>1.38023490508787</v>
      </c>
      <c r="T134" s="40">
        <v>97.29</v>
      </c>
      <c r="U134" s="40">
        <v>2.46087526250969</v>
      </c>
      <c r="V134" s="40">
        <v>15.64</v>
      </c>
      <c r="W134" s="41">
        <v>2.16814869459413</v>
      </c>
      <c r="X134" s="41"/>
      <c r="Y134" s="40"/>
      <c r="Z134" s="40">
        <v>13.87</v>
      </c>
      <c r="AA134" s="40">
        <v>-0.151682908870781</v>
      </c>
      <c r="AB134" s="40">
        <v>297.33</v>
      </c>
      <c r="AC134" s="41">
        <v>1.64132181925103</v>
      </c>
      <c r="AD134" s="41"/>
      <c r="AE134" s="40"/>
      <c r="AF134" s="40">
        <v>181.5</v>
      </c>
      <c r="AG134" s="40">
        <v>-0.398232363955797</v>
      </c>
      <c r="AH134" s="45">
        <v>63.07</v>
      </c>
      <c r="AI134" s="23">
        <v>-0.11376328528314</v>
      </c>
      <c r="AJ134" s="24">
        <v>52</v>
      </c>
      <c r="AK134" s="29">
        <v>1</v>
      </c>
      <c r="AL134" s="14">
        <v>1</v>
      </c>
      <c r="AM134" s="29">
        <v>1</v>
      </c>
      <c r="AN134" s="30">
        <v>0</v>
      </c>
      <c r="AO134" s="29">
        <v>2</v>
      </c>
      <c r="AP134" s="35">
        <v>44.5</v>
      </c>
      <c r="AQ134" s="35">
        <v>7</v>
      </c>
      <c r="AR134" s="35">
        <v>56.6666666666667</v>
      </c>
      <c r="AS134" s="35"/>
      <c r="AT134" s="35"/>
      <c r="AU134" s="35">
        <v>19</v>
      </c>
      <c r="AV134" s="35">
        <v>90.6666666666667</v>
      </c>
      <c r="AW134" s="35">
        <v>24.3055555555556</v>
      </c>
      <c r="AX134" s="35">
        <v>58.3333333333333</v>
      </c>
      <c r="AY134" s="35">
        <v>81.4529914529915</v>
      </c>
      <c r="AZ134" s="35">
        <v>17.7469135802469</v>
      </c>
      <c r="BA134" s="29">
        <v>2</v>
      </c>
      <c r="BB134" s="29">
        <v>0</v>
      </c>
      <c r="BC134" s="29">
        <v>1</v>
      </c>
      <c r="BD134" s="14">
        <v>0</v>
      </c>
      <c r="BE134" s="44">
        <v>1294</v>
      </c>
      <c r="BF134" s="14">
        <f t="shared" si="2"/>
        <v>0</v>
      </c>
    </row>
    <row r="135" spans="1:58">
      <c r="A135" s="14" t="s">
        <v>213</v>
      </c>
      <c r="B135" s="14" t="s">
        <v>213</v>
      </c>
      <c r="C135" s="15" t="s">
        <v>192</v>
      </c>
      <c r="D135" s="40">
        <v>17.48</v>
      </c>
      <c r="E135" s="40">
        <v>-0.542557945034105</v>
      </c>
      <c r="F135" s="40">
        <v>68.51</v>
      </c>
      <c r="G135" s="40">
        <v>-0.586972726395977</v>
      </c>
      <c r="H135" s="40">
        <v>32</v>
      </c>
      <c r="I135" s="40">
        <v>-0.481566695211527</v>
      </c>
      <c r="J135" s="40">
        <v>80.85</v>
      </c>
      <c r="K135" s="40">
        <v>0.334177269147745</v>
      </c>
      <c r="L135" s="40">
        <v>3.13</v>
      </c>
      <c r="M135" s="40">
        <v>-0.178829315313212</v>
      </c>
      <c r="N135" s="40">
        <v>666.29</v>
      </c>
      <c r="O135" s="40">
        <v>0.329393556671558</v>
      </c>
      <c r="P135" s="40">
        <v>30.62</v>
      </c>
      <c r="Q135" s="40">
        <v>0.413996152478752</v>
      </c>
      <c r="R135" s="40">
        <v>35.81</v>
      </c>
      <c r="S135" s="40">
        <v>0.422676984412163</v>
      </c>
      <c r="T135" s="40">
        <v>38.58</v>
      </c>
      <c r="U135" s="40">
        <v>0.461849515259026</v>
      </c>
      <c r="V135" s="40">
        <v>8.77</v>
      </c>
      <c r="W135" s="41">
        <v>0.00123012844366614</v>
      </c>
      <c r="X135" s="41"/>
      <c r="Y135" s="40"/>
      <c r="Z135" s="40">
        <v>15.03</v>
      </c>
      <c r="AA135" s="40">
        <v>0.0225271646837785</v>
      </c>
      <c r="AB135" s="40">
        <v>142.34</v>
      </c>
      <c r="AC135" s="41">
        <v>0.532007698770231</v>
      </c>
      <c r="AD135" s="41"/>
      <c r="AE135" s="40"/>
      <c r="AF135" s="40">
        <v>103.15</v>
      </c>
      <c r="AG135" s="40">
        <v>-0.932077828557506</v>
      </c>
      <c r="AH135" s="45">
        <v>106.41</v>
      </c>
      <c r="AI135" s="23">
        <v>0.0118344094606665</v>
      </c>
      <c r="AJ135" s="24">
        <v>67</v>
      </c>
      <c r="AK135" s="29">
        <v>2</v>
      </c>
      <c r="AL135" s="14">
        <v>1</v>
      </c>
      <c r="AM135" s="29">
        <v>1</v>
      </c>
      <c r="AN135" s="30">
        <v>0</v>
      </c>
      <c r="AO135" s="29">
        <v>1</v>
      </c>
      <c r="AP135" s="35">
        <v>57.5</v>
      </c>
      <c r="AQ135" s="35">
        <v>45</v>
      </c>
      <c r="AR135" s="35">
        <v>66.6666666666667</v>
      </c>
      <c r="AS135" s="35">
        <v>0</v>
      </c>
      <c r="AT135" s="35">
        <v>24</v>
      </c>
      <c r="AU135" s="35">
        <v>18</v>
      </c>
      <c r="AV135" s="35">
        <v>81.6666666666667</v>
      </c>
      <c r="AW135" s="35">
        <v>20.1388888888889</v>
      </c>
      <c r="AX135" s="35">
        <v>83.3333333333333</v>
      </c>
      <c r="AY135" s="35">
        <v>80.5555555555556</v>
      </c>
      <c r="AZ135" s="35">
        <v>21.6666666666667</v>
      </c>
      <c r="BA135" s="29">
        <v>1</v>
      </c>
      <c r="BB135" s="29">
        <v>0</v>
      </c>
      <c r="BC135" s="29">
        <v>1</v>
      </c>
      <c r="BD135" s="14">
        <v>0</v>
      </c>
      <c r="BE135" s="44">
        <v>1370</v>
      </c>
      <c r="BF135" s="14">
        <f t="shared" si="2"/>
        <v>0</v>
      </c>
    </row>
    <row r="136" spans="1:58">
      <c r="A136" s="14" t="s">
        <v>214</v>
      </c>
      <c r="B136" s="14" t="s">
        <v>214</v>
      </c>
      <c r="C136" s="15" t="s">
        <v>192</v>
      </c>
      <c r="D136" s="40">
        <v>42.44</v>
      </c>
      <c r="E136" s="40">
        <v>0.136040500965196</v>
      </c>
      <c r="F136" s="40">
        <v>88.23</v>
      </c>
      <c r="G136" s="40">
        <v>0.168355449512606</v>
      </c>
      <c r="H136" s="40">
        <v>51.57</v>
      </c>
      <c r="I136" s="40">
        <v>-0.0741896646379303</v>
      </c>
      <c r="J136" s="40">
        <v>41.87</v>
      </c>
      <c r="K136" s="40">
        <v>-0.108441630385692</v>
      </c>
      <c r="L136" s="40">
        <v>3.6</v>
      </c>
      <c r="M136" s="40">
        <v>-0.0803527151993165</v>
      </c>
      <c r="N136" s="40">
        <v>381.83</v>
      </c>
      <c r="O136" s="40">
        <v>-0.0111171737886891</v>
      </c>
      <c r="P136" s="40">
        <v>14.98</v>
      </c>
      <c r="Q136" s="40">
        <v>-0.0636376847888954</v>
      </c>
      <c r="R136" s="40">
        <v>20.2</v>
      </c>
      <c r="S136" s="40">
        <v>-0.0379541139467826</v>
      </c>
      <c r="T136" s="40">
        <v>17.76</v>
      </c>
      <c r="U136" s="40">
        <v>-0.24705384120084</v>
      </c>
      <c r="V136" s="40">
        <v>10.18</v>
      </c>
      <c r="W136" s="41">
        <v>0.445968873461448</v>
      </c>
      <c r="X136" s="41"/>
      <c r="Y136" s="40"/>
      <c r="Z136" s="40">
        <v>18.43</v>
      </c>
      <c r="AA136" s="40">
        <v>0.533142897516109</v>
      </c>
      <c r="AB136" s="40">
        <v>73.54</v>
      </c>
      <c r="AC136" s="41">
        <v>0.0395835972857546</v>
      </c>
      <c r="AD136" s="41"/>
      <c r="AE136" s="40"/>
      <c r="AF136" s="40">
        <v>113.63</v>
      </c>
      <c r="AG136" s="40">
        <v>-0.860671313317865</v>
      </c>
      <c r="AH136" s="45">
        <v>52.67</v>
      </c>
      <c r="AI136" s="23">
        <v>-0.143902095281654</v>
      </c>
      <c r="AJ136" s="24">
        <v>66</v>
      </c>
      <c r="AK136" s="29">
        <v>1</v>
      </c>
      <c r="AL136" s="14">
        <v>1</v>
      </c>
      <c r="AM136" s="29">
        <v>1</v>
      </c>
      <c r="AN136" s="30">
        <v>5</v>
      </c>
      <c r="AO136" s="29">
        <v>2</v>
      </c>
      <c r="AP136" s="35">
        <v>80.625</v>
      </c>
      <c r="AQ136" s="35">
        <v>68.3333333333333</v>
      </c>
      <c r="AR136" s="35">
        <v>83.3333333333333</v>
      </c>
      <c r="AS136" s="35">
        <v>14</v>
      </c>
      <c r="AT136" s="35">
        <v>25</v>
      </c>
      <c r="AU136" s="35">
        <v>19</v>
      </c>
      <c r="AV136" s="35">
        <v>58.3333333333333</v>
      </c>
      <c r="AW136" s="35">
        <v>28.4722222222222</v>
      </c>
      <c r="AX136" s="35">
        <v>0</v>
      </c>
      <c r="AY136" s="35">
        <v>66.4529914529915</v>
      </c>
      <c r="AZ136" s="35">
        <v>62.4074074074074</v>
      </c>
      <c r="BA136" s="29">
        <v>4</v>
      </c>
      <c r="BB136" s="29">
        <v>1</v>
      </c>
      <c r="BC136" s="29">
        <v>1</v>
      </c>
      <c r="BD136" s="14">
        <v>1</v>
      </c>
      <c r="BE136" s="44">
        <v>306</v>
      </c>
      <c r="BF136" s="14">
        <f t="shared" si="2"/>
        <v>1</v>
      </c>
    </row>
    <row r="137" spans="1:58">
      <c r="A137" s="14" t="s">
        <v>215</v>
      </c>
      <c r="B137" s="14" t="s">
        <v>215</v>
      </c>
      <c r="C137" s="15" t="s">
        <v>192</v>
      </c>
      <c r="D137" s="40">
        <v>31.51</v>
      </c>
      <c r="E137" s="40">
        <v>-0.161118193536901</v>
      </c>
      <c r="F137" s="40">
        <v>111.75</v>
      </c>
      <c r="G137" s="40">
        <v>1.06923367960236</v>
      </c>
      <c r="H137" s="40">
        <v>103.55</v>
      </c>
      <c r="I137" s="40">
        <v>1.00784702668632</v>
      </c>
      <c r="J137" s="40">
        <v>18.91</v>
      </c>
      <c r="K137" s="40">
        <v>-0.369153019130888</v>
      </c>
      <c r="L137" s="40">
        <v>4.41</v>
      </c>
      <c r="M137" s="40">
        <v>0.0893622764863324</v>
      </c>
      <c r="N137" s="40">
        <v>158.76</v>
      </c>
      <c r="O137" s="40">
        <v>-0.278141460661245</v>
      </c>
      <c r="P137" s="40">
        <v>6.47</v>
      </c>
      <c r="Q137" s="40">
        <v>-0.323526684478645</v>
      </c>
      <c r="R137" s="40">
        <v>11.76</v>
      </c>
      <c r="S137" s="40">
        <v>-0.287007699478461</v>
      </c>
      <c r="T137" s="40">
        <v>14.39</v>
      </c>
      <c r="U137" s="40">
        <v>-0.361799485354046</v>
      </c>
      <c r="V137" s="40">
        <v>9.32</v>
      </c>
      <c r="W137" s="41">
        <v>0.174709780755567</v>
      </c>
      <c r="X137" s="41"/>
      <c r="Y137" s="40"/>
      <c r="Z137" s="40">
        <v>13.55</v>
      </c>
      <c r="AA137" s="40">
        <v>-0.199740860196177</v>
      </c>
      <c r="AB137" s="40">
        <v>28.14</v>
      </c>
      <c r="AC137" s="41">
        <v>-0.285359051077548</v>
      </c>
      <c r="AD137" s="41"/>
      <c r="AE137" s="40"/>
      <c r="AF137" s="40">
        <v>139.79</v>
      </c>
      <c r="AG137" s="40">
        <v>-0.682427569170058</v>
      </c>
      <c r="AH137" s="45">
        <v>23.06</v>
      </c>
      <c r="AI137" s="23">
        <v>-0.229710764902423</v>
      </c>
      <c r="AJ137" s="24">
        <v>43</v>
      </c>
      <c r="AK137" s="29">
        <v>2</v>
      </c>
      <c r="AL137" s="14">
        <v>1</v>
      </c>
      <c r="AM137" s="29">
        <v>1</v>
      </c>
      <c r="AN137" s="30">
        <v>0</v>
      </c>
      <c r="AO137" s="29">
        <v>3</v>
      </c>
      <c r="AP137" s="35">
        <v>0</v>
      </c>
      <c r="AQ137" s="35">
        <v>0</v>
      </c>
      <c r="AR137" s="35">
        <v>0</v>
      </c>
      <c r="AS137" s="35">
        <v>2</v>
      </c>
      <c r="AT137" s="35">
        <v>1</v>
      </c>
      <c r="AU137" s="35">
        <v>3</v>
      </c>
      <c r="AV137" s="35">
        <v>93.6666666666667</v>
      </c>
      <c r="AW137" s="35">
        <v>4.16666666666667</v>
      </c>
      <c r="AX137" s="35">
        <v>91.6666666666667</v>
      </c>
      <c r="AY137" s="35">
        <v>95</v>
      </c>
      <c r="AZ137" s="35">
        <v>9.72222222222222</v>
      </c>
      <c r="BA137" s="29">
        <v>1</v>
      </c>
      <c r="BB137" s="29">
        <v>0</v>
      </c>
      <c r="BC137" s="29">
        <v>0</v>
      </c>
      <c r="BD137" s="14">
        <v>0</v>
      </c>
      <c r="BE137" s="44">
        <v>1197</v>
      </c>
      <c r="BF137" s="14">
        <f t="shared" si="2"/>
        <v>0</v>
      </c>
    </row>
    <row r="138" spans="1:58">
      <c r="A138" s="14" t="s">
        <v>216</v>
      </c>
      <c r="B138" s="14" t="s">
        <v>216</v>
      </c>
      <c r="C138" s="15" t="s">
        <v>192</v>
      </c>
      <c r="D138" s="40">
        <v>41.15</v>
      </c>
      <c r="E138" s="40">
        <v>0.100968706280136</v>
      </c>
      <c r="F138" s="40">
        <v>79.96</v>
      </c>
      <c r="G138" s="40">
        <v>-0.148407431560619</v>
      </c>
      <c r="H138" s="40">
        <v>32.49</v>
      </c>
      <c r="I138" s="40">
        <v>-0.471366657144022</v>
      </c>
      <c r="J138" s="40">
        <v>10.29</v>
      </c>
      <c r="K138" s="40">
        <v>-0.467033340166758</v>
      </c>
      <c r="L138" s="40">
        <v>3.65</v>
      </c>
      <c r="M138" s="40">
        <v>-0.0698764811446469</v>
      </c>
      <c r="N138" s="40">
        <v>67.28</v>
      </c>
      <c r="O138" s="40">
        <v>-0.387646915285809</v>
      </c>
      <c r="P138" s="40">
        <v>2.8</v>
      </c>
      <c r="Q138" s="40">
        <v>-0.435605724297843</v>
      </c>
      <c r="R138" s="40">
        <v>6.46</v>
      </c>
      <c r="S138" s="40">
        <v>-0.443403908402383</v>
      </c>
      <c r="T138" s="40">
        <v>11.49</v>
      </c>
      <c r="U138" s="40">
        <v>-0.460542027800425</v>
      </c>
      <c r="V138" s="40">
        <v>6.89</v>
      </c>
      <c r="W138" s="41">
        <v>-0.591754864913376</v>
      </c>
      <c r="X138" s="41"/>
      <c r="Y138" s="40"/>
      <c r="Z138" s="40">
        <v>12.44</v>
      </c>
      <c r="AA138" s="40">
        <v>-0.366441878856143</v>
      </c>
      <c r="AB138" s="40">
        <v>18.22</v>
      </c>
      <c r="AC138" s="41">
        <v>-0.356359735477636</v>
      </c>
      <c r="AD138" s="41"/>
      <c r="AE138" s="40"/>
      <c r="AF138" s="40">
        <v>91.69</v>
      </c>
      <c r="AG138" s="40">
        <v>-1.01016167060391</v>
      </c>
      <c r="AH138" s="45">
        <v>23.86</v>
      </c>
      <c r="AI138" s="23">
        <v>-0.227392394902537</v>
      </c>
      <c r="AJ138" s="24">
        <v>61</v>
      </c>
      <c r="AK138" s="29">
        <v>1</v>
      </c>
      <c r="AL138" s="14">
        <v>1</v>
      </c>
      <c r="AM138" s="29">
        <v>3</v>
      </c>
      <c r="AN138" s="30">
        <v>55</v>
      </c>
      <c r="AO138" s="29">
        <v>3</v>
      </c>
      <c r="AP138" s="35">
        <v>0</v>
      </c>
      <c r="AQ138" s="35">
        <v>0</v>
      </c>
      <c r="AR138" s="35">
        <v>0</v>
      </c>
      <c r="AS138" s="35">
        <v>10</v>
      </c>
      <c r="AT138" s="35">
        <v>15</v>
      </c>
      <c r="AU138" s="35">
        <v>18</v>
      </c>
      <c r="AV138" s="35">
        <v>68</v>
      </c>
      <c r="AW138" s="35">
        <v>34.7222222222222</v>
      </c>
      <c r="AX138" s="35">
        <v>33.3333333333333</v>
      </c>
      <c r="AY138" s="35">
        <v>66.3247863247863</v>
      </c>
      <c r="AZ138" s="35">
        <v>43.9814814814815</v>
      </c>
      <c r="BA138" s="29">
        <v>5</v>
      </c>
      <c r="BB138" s="29">
        <v>1</v>
      </c>
      <c r="BC138" s="29">
        <v>0</v>
      </c>
      <c r="BD138" s="14">
        <v>0</v>
      </c>
      <c r="BE138" s="44">
        <v>1196</v>
      </c>
      <c r="BF138" s="14">
        <f t="shared" si="2"/>
        <v>0</v>
      </c>
    </row>
    <row r="139" spans="1:58">
      <c r="A139" s="14" t="s">
        <v>217</v>
      </c>
      <c r="B139" s="14" t="s">
        <v>217</v>
      </c>
      <c r="C139" s="15" t="s">
        <v>192</v>
      </c>
      <c r="D139" s="40">
        <v>11.11</v>
      </c>
      <c r="E139" s="40">
        <v>-0.715741923440176</v>
      </c>
      <c r="F139" s="40">
        <v>77.15</v>
      </c>
      <c r="G139" s="40">
        <v>-0.256037866363008</v>
      </c>
      <c r="H139" s="40">
        <v>41.77</v>
      </c>
      <c r="I139" s="40">
        <v>-0.278190425988019</v>
      </c>
      <c r="J139" s="40">
        <v>9.81</v>
      </c>
      <c r="K139" s="40">
        <v>-0.47248375247502</v>
      </c>
      <c r="L139" s="40">
        <v>4.34</v>
      </c>
      <c r="M139" s="40">
        <v>0.0746955488097948</v>
      </c>
      <c r="N139" s="40">
        <v>62.07</v>
      </c>
      <c r="O139" s="40">
        <v>-0.393883507093789</v>
      </c>
      <c r="P139" s="40">
        <v>4.22</v>
      </c>
      <c r="Q139" s="40">
        <v>-0.392239992269707</v>
      </c>
      <c r="R139" s="40">
        <v>8.13</v>
      </c>
      <c r="S139" s="40">
        <v>-0.394124348232015</v>
      </c>
      <c r="T139" s="40">
        <v>15.59</v>
      </c>
      <c r="U139" s="40">
        <v>-0.320940502272786</v>
      </c>
      <c r="V139" s="40">
        <v>8.07</v>
      </c>
      <c r="W139" s="41">
        <v>-0.219562156316934</v>
      </c>
      <c r="X139" s="41"/>
      <c r="Y139" s="40"/>
      <c r="Z139" s="40">
        <v>13.87</v>
      </c>
      <c r="AA139" s="40">
        <v>-0.151682908870781</v>
      </c>
      <c r="AB139" s="40">
        <v>13.7</v>
      </c>
      <c r="AC139" s="41">
        <v>-0.388710853772837</v>
      </c>
      <c r="AD139" s="41"/>
      <c r="AE139" s="40"/>
      <c r="AF139" s="40">
        <v>89.75</v>
      </c>
      <c r="AG139" s="40">
        <v>-1.02338005224178</v>
      </c>
      <c r="AH139" s="45">
        <v>93.94</v>
      </c>
      <c r="AI139" s="23">
        <v>-0.0243031829125515</v>
      </c>
      <c r="AJ139" s="24">
        <v>63</v>
      </c>
      <c r="AK139" s="29">
        <v>1</v>
      </c>
      <c r="AL139" s="14">
        <v>1</v>
      </c>
      <c r="AM139" s="29">
        <v>2</v>
      </c>
      <c r="AN139" s="30">
        <v>50</v>
      </c>
      <c r="AO139" s="29">
        <v>2</v>
      </c>
      <c r="AP139" s="35">
        <v>77.625</v>
      </c>
      <c r="AQ139" s="35">
        <v>64.3333333333333</v>
      </c>
      <c r="AR139" s="35">
        <v>87</v>
      </c>
      <c r="AS139" s="35">
        <v>13</v>
      </c>
      <c r="AT139" s="35">
        <v>34</v>
      </c>
      <c r="AU139" s="35">
        <v>36</v>
      </c>
      <c r="AV139" s="35">
        <v>56.3333333333333</v>
      </c>
      <c r="AW139" s="35">
        <v>36.1111111111111</v>
      </c>
      <c r="AX139" s="35">
        <v>25</v>
      </c>
      <c r="AY139" s="35">
        <v>60.982905982906</v>
      </c>
      <c r="AZ139" s="35">
        <v>57.037037037037</v>
      </c>
      <c r="BA139" s="29">
        <v>5</v>
      </c>
      <c r="BB139" s="29">
        <v>1</v>
      </c>
      <c r="BC139" s="29">
        <v>1</v>
      </c>
      <c r="BD139" s="14">
        <v>1</v>
      </c>
      <c r="BE139" s="44">
        <v>334</v>
      </c>
      <c r="BF139" s="14">
        <f t="shared" si="2"/>
        <v>1</v>
      </c>
    </row>
    <row r="140" spans="1:58">
      <c r="A140" s="14" t="s">
        <v>218</v>
      </c>
      <c r="B140" s="14" t="s">
        <v>218</v>
      </c>
      <c r="C140" s="15" t="s">
        <v>192</v>
      </c>
      <c r="D140" s="40">
        <v>19.58</v>
      </c>
      <c r="E140" s="40">
        <v>-0.485464325779356</v>
      </c>
      <c r="F140" s="40">
        <v>108.59</v>
      </c>
      <c r="G140" s="40">
        <v>0.948197318756966</v>
      </c>
      <c r="H140" s="40">
        <v>117.74</v>
      </c>
      <c r="I140" s="40">
        <v>1.30323180255956</v>
      </c>
      <c r="J140" s="40">
        <v>22.2</v>
      </c>
      <c r="K140" s="40">
        <v>-0.331794984768009</v>
      </c>
      <c r="L140" s="40">
        <v>9.51</v>
      </c>
      <c r="M140" s="40">
        <v>1.15793815006264</v>
      </c>
      <c r="N140" s="40">
        <v>132.87</v>
      </c>
      <c r="O140" s="40">
        <v>-0.309132892889382</v>
      </c>
      <c r="P140" s="40">
        <v>7.15</v>
      </c>
      <c r="Q140" s="40">
        <v>-0.30275999590179</v>
      </c>
      <c r="R140" s="40">
        <v>10.21</v>
      </c>
      <c r="S140" s="40">
        <v>-0.332746213409042</v>
      </c>
      <c r="T140" s="40">
        <v>14.63</v>
      </c>
      <c r="U140" s="40">
        <v>-0.353627688737794</v>
      </c>
      <c r="V140" s="40">
        <v>8.4</v>
      </c>
      <c r="W140" s="41">
        <v>-0.115474364929794</v>
      </c>
      <c r="X140" s="41"/>
      <c r="Y140" s="40"/>
      <c r="Z140" s="40">
        <v>20.9</v>
      </c>
      <c r="AA140" s="40">
        <v>0.904090209309007</v>
      </c>
      <c r="AB140" s="40">
        <v>20.12</v>
      </c>
      <c r="AC140" s="41">
        <v>-0.342760814070361</v>
      </c>
      <c r="AD140" s="41"/>
      <c r="AE140" s="40"/>
      <c r="AF140" s="40">
        <v>151.47</v>
      </c>
      <c r="AG140" s="40">
        <v>-0.602844735391526</v>
      </c>
      <c r="AH140" s="45">
        <v>38.47</v>
      </c>
      <c r="AI140" s="23">
        <v>-0.185053162779625</v>
      </c>
      <c r="AJ140" s="24">
        <v>79</v>
      </c>
      <c r="AK140" s="29">
        <v>2</v>
      </c>
      <c r="AL140" s="14">
        <v>1</v>
      </c>
      <c r="AM140" s="29">
        <v>1</v>
      </c>
      <c r="AN140" s="30">
        <v>0</v>
      </c>
      <c r="AO140" s="29">
        <v>1</v>
      </c>
      <c r="AP140" s="35">
        <v>25.25</v>
      </c>
      <c r="AQ140" s="35">
        <v>11.6666666666667</v>
      </c>
      <c r="AR140" s="35">
        <v>22.3333333333333</v>
      </c>
      <c r="AS140" s="35">
        <v>0</v>
      </c>
      <c r="AT140" s="35">
        <v>0</v>
      </c>
      <c r="AU140" s="35">
        <v>4</v>
      </c>
      <c r="AV140" s="35">
        <v>96.6666666666667</v>
      </c>
      <c r="AW140" s="35">
        <v>7.63888888888889</v>
      </c>
      <c r="AX140" s="35">
        <v>58.3333333333333</v>
      </c>
      <c r="AY140" s="35">
        <v>94.017094017094</v>
      </c>
      <c r="AZ140" s="35">
        <v>1.96078431372549</v>
      </c>
      <c r="BA140" s="29">
        <v>1</v>
      </c>
      <c r="BB140" s="29">
        <v>0</v>
      </c>
      <c r="BC140" s="29">
        <v>0</v>
      </c>
      <c r="BD140" s="14">
        <v>0</v>
      </c>
      <c r="BE140" s="44">
        <v>1291</v>
      </c>
      <c r="BF140" s="14">
        <f t="shared" si="2"/>
        <v>0</v>
      </c>
    </row>
    <row r="141" spans="1:58">
      <c r="A141" s="14" t="s">
        <v>219</v>
      </c>
      <c r="B141" s="14" t="s">
        <v>219</v>
      </c>
      <c r="C141" s="15" t="s">
        <v>192</v>
      </c>
      <c r="D141" s="40">
        <v>21.88</v>
      </c>
      <c r="E141" s="40">
        <v>-0.422933218976536</v>
      </c>
      <c r="F141" s="40">
        <v>107.31</v>
      </c>
      <c r="G141" s="40">
        <v>0.899169932085415</v>
      </c>
      <c r="H141" s="40">
        <v>76.34</v>
      </c>
      <c r="I141" s="40">
        <v>0.44143266787653</v>
      </c>
      <c r="J141" s="40">
        <v>95.27</v>
      </c>
      <c r="K141" s="40">
        <v>0.497916738908447</v>
      </c>
      <c r="L141" s="40">
        <v>5.58</v>
      </c>
      <c r="M141" s="40">
        <v>0.334506153365603</v>
      </c>
      <c r="N141" s="40">
        <v>770.37</v>
      </c>
      <c r="O141" s="40">
        <v>0.45398174772233</v>
      </c>
      <c r="P141" s="40">
        <v>32.44</v>
      </c>
      <c r="Q141" s="40">
        <v>0.469577583669744</v>
      </c>
      <c r="R141" s="40">
        <v>54.59</v>
      </c>
      <c r="S141" s="40">
        <v>0.976850720938813</v>
      </c>
      <c r="T141" s="40">
        <v>28.38</v>
      </c>
      <c r="U141" s="40">
        <v>0.114548159068313</v>
      </c>
      <c r="V141" s="40">
        <v>12.21</v>
      </c>
      <c r="W141" s="41">
        <v>1.08626649926719</v>
      </c>
      <c r="X141" s="41"/>
      <c r="Y141" s="40"/>
      <c r="Z141" s="40">
        <v>19.16</v>
      </c>
      <c r="AA141" s="40">
        <v>0.642775098977168</v>
      </c>
      <c r="AB141" s="40">
        <v>121.09</v>
      </c>
      <c r="AC141" s="41">
        <v>0.379914498820447</v>
      </c>
      <c r="AD141" s="41"/>
      <c r="AE141" s="40"/>
      <c r="AF141" s="40">
        <v>105.41</v>
      </c>
      <c r="AG141" s="40">
        <v>-0.916679095309263</v>
      </c>
      <c r="AH141" s="45">
        <v>36.55</v>
      </c>
      <c r="AI141" s="23">
        <v>-0.190617250779351</v>
      </c>
      <c r="AJ141" s="24">
        <v>65</v>
      </c>
      <c r="AK141" s="29">
        <v>2</v>
      </c>
      <c r="AL141" s="14">
        <v>1</v>
      </c>
      <c r="AM141" s="29">
        <v>2</v>
      </c>
      <c r="AN141" s="30">
        <v>20</v>
      </c>
      <c r="AO141" s="29">
        <v>2</v>
      </c>
      <c r="AP141" s="35">
        <v>67.25</v>
      </c>
      <c r="AQ141" s="35">
        <v>57.6666666666667</v>
      </c>
      <c r="AR141" s="35">
        <v>71.6666666666667</v>
      </c>
      <c r="AS141" s="35">
        <v>15</v>
      </c>
      <c r="AT141" s="35">
        <v>13</v>
      </c>
      <c r="AU141" s="35">
        <v>21</v>
      </c>
      <c r="AV141" s="35">
        <v>51</v>
      </c>
      <c r="AW141" s="35">
        <v>43.0555555555556</v>
      </c>
      <c r="AX141" s="35">
        <v>41.6666666666667</v>
      </c>
      <c r="AY141" s="35">
        <v>54.6581196581196</v>
      </c>
      <c r="AZ141" s="35">
        <v>52.5925925925926</v>
      </c>
      <c r="BA141" s="29">
        <v>5</v>
      </c>
      <c r="BB141" s="29">
        <v>0</v>
      </c>
      <c r="BC141" s="29">
        <v>1</v>
      </c>
      <c r="BD141" s="14">
        <v>1</v>
      </c>
      <c r="BE141" s="44">
        <v>762</v>
      </c>
      <c r="BF141" s="14">
        <f t="shared" si="2"/>
        <v>0</v>
      </c>
    </row>
    <row r="142" spans="1:58">
      <c r="A142" s="14" t="s">
        <v>220</v>
      </c>
      <c r="B142" s="14" t="s">
        <v>220</v>
      </c>
      <c r="C142" s="15" t="s">
        <v>192</v>
      </c>
      <c r="D142" s="40">
        <v>15.43</v>
      </c>
      <c r="E142" s="40">
        <v>-0.598292192401836</v>
      </c>
      <c r="F142" s="40">
        <v>169.08</v>
      </c>
      <c r="G142" s="40">
        <v>3.26512436544613</v>
      </c>
      <c r="H142" s="40">
        <v>96.2</v>
      </c>
      <c r="I142" s="40">
        <v>0.854846455673752</v>
      </c>
      <c r="J142" s="40">
        <v>18.3</v>
      </c>
      <c r="K142" s="40">
        <v>-0.376079584772637</v>
      </c>
      <c r="L142" s="40">
        <v>10.25</v>
      </c>
      <c r="M142" s="40">
        <v>1.31298641407175</v>
      </c>
      <c r="N142" s="40">
        <v>64.38</v>
      </c>
      <c r="O142" s="40">
        <v>-0.391118338748984</v>
      </c>
      <c r="P142" s="40">
        <v>5.65</v>
      </c>
      <c r="Q142" s="40">
        <v>-0.348568867762498</v>
      </c>
      <c r="R142" s="40">
        <v>5.5</v>
      </c>
      <c r="S142" s="40">
        <v>-0.471732278320678</v>
      </c>
      <c r="T142" s="40">
        <v>18.96</v>
      </c>
      <c r="U142" s="40">
        <v>-0.20619485811958</v>
      </c>
      <c r="V142" s="40">
        <v>11.92</v>
      </c>
      <c r="W142" s="41">
        <v>0.99479540986637</v>
      </c>
      <c r="X142" s="41"/>
      <c r="Y142" s="40"/>
      <c r="Z142" s="40">
        <v>62.35</v>
      </c>
      <c r="AA142" s="40">
        <v>7.12909671692668</v>
      </c>
      <c r="AB142" s="40">
        <v>24.51</v>
      </c>
      <c r="AC142" s="41">
        <v>-0.3113401482925</v>
      </c>
      <c r="AD142" s="41"/>
      <c r="AE142" s="40"/>
      <c r="AF142" s="40">
        <v>535.65</v>
      </c>
      <c r="AG142" s="40">
        <v>2.01480364483419</v>
      </c>
      <c r="AH142" s="45">
        <v>3497</v>
      </c>
      <c r="AI142" s="23">
        <v>9.83763708185115</v>
      </c>
      <c r="AJ142" s="24">
        <v>80</v>
      </c>
      <c r="AK142" s="29">
        <v>2</v>
      </c>
      <c r="AL142" s="14">
        <v>1</v>
      </c>
      <c r="AM142" s="29">
        <v>2</v>
      </c>
      <c r="AN142" s="30">
        <v>15</v>
      </c>
      <c r="AO142" s="29">
        <v>1</v>
      </c>
      <c r="AP142" s="35">
        <v>1.25</v>
      </c>
      <c r="AQ142" s="35">
        <v>0</v>
      </c>
      <c r="AR142" s="35">
        <v>0</v>
      </c>
      <c r="AS142" s="35">
        <v>0</v>
      </c>
      <c r="AT142" s="35">
        <v>0</v>
      </c>
      <c r="AU142" s="35">
        <v>0</v>
      </c>
      <c r="AV142" s="35">
        <v>97.3333333333333</v>
      </c>
      <c r="AW142" s="35">
        <v>12.5</v>
      </c>
      <c r="AX142" s="35">
        <v>91.6666666666667</v>
      </c>
      <c r="AY142" s="35">
        <v>91.2820512820513</v>
      </c>
      <c r="AZ142" s="35">
        <v>5.3921568627451</v>
      </c>
      <c r="BA142" s="29">
        <v>4</v>
      </c>
      <c r="BB142" s="29">
        <v>0</v>
      </c>
      <c r="BC142" s="29">
        <v>1</v>
      </c>
      <c r="BD142" s="14">
        <v>0</v>
      </c>
      <c r="BE142" s="44">
        <v>425</v>
      </c>
      <c r="BF142" s="14">
        <f t="shared" si="2"/>
        <v>0</v>
      </c>
    </row>
    <row r="143" spans="1:58">
      <c r="A143" s="14" t="s">
        <v>221</v>
      </c>
      <c r="B143" s="14" t="s">
        <v>221</v>
      </c>
      <c r="C143" s="15" t="s">
        <v>192</v>
      </c>
      <c r="D143" s="40">
        <v>19.84</v>
      </c>
      <c r="E143" s="40">
        <v>-0.478395591966863</v>
      </c>
      <c r="F143" s="40">
        <v>85.5</v>
      </c>
      <c r="G143" s="40">
        <v>0.0637892263771886</v>
      </c>
      <c r="H143" s="40">
        <v>55.49</v>
      </c>
      <c r="I143" s="40">
        <v>0.00741063990210546</v>
      </c>
      <c r="J143" s="40">
        <v>64.18</v>
      </c>
      <c r="K143" s="40">
        <v>0.144888991692065</v>
      </c>
      <c r="L143" s="40">
        <v>4.21</v>
      </c>
      <c r="M143" s="40">
        <v>0.0474573402676536</v>
      </c>
      <c r="N143" s="40">
        <v>447.56</v>
      </c>
      <c r="O143" s="40">
        <v>0.0675644345680291</v>
      </c>
      <c r="P143" s="40">
        <v>20.92</v>
      </c>
      <c r="Q143" s="40">
        <v>0.117765447779508</v>
      </c>
      <c r="R143" s="40">
        <v>31.06</v>
      </c>
      <c r="S143" s="40">
        <v>0.282510570753932</v>
      </c>
      <c r="T143" s="40">
        <v>28.97</v>
      </c>
      <c r="U143" s="40">
        <v>0.134637159083266</v>
      </c>
      <c r="V143" s="40">
        <v>9.51</v>
      </c>
      <c r="W143" s="41">
        <v>0.234639115190587</v>
      </c>
      <c r="X143" s="41"/>
      <c r="Y143" s="40"/>
      <c r="Z143" s="40">
        <v>13.31</v>
      </c>
      <c r="AA143" s="40">
        <v>-0.235784323690224</v>
      </c>
      <c r="AB143" s="40">
        <v>70.85</v>
      </c>
      <c r="AC143" s="41">
        <v>0.0203303875038759</v>
      </c>
      <c r="AD143" s="41"/>
      <c r="AE143" s="40"/>
      <c r="AF143" s="40">
        <v>341.43</v>
      </c>
      <c r="AG143" s="40">
        <v>0.6914664893148</v>
      </c>
      <c r="AH143" s="45">
        <v>72.43</v>
      </c>
      <c r="AI143" s="23">
        <v>-0.0866383562844778</v>
      </c>
      <c r="AJ143" s="24">
        <v>51</v>
      </c>
      <c r="AK143" s="29">
        <v>2</v>
      </c>
      <c r="AL143" s="14">
        <v>1</v>
      </c>
      <c r="AM143" s="29">
        <v>3</v>
      </c>
      <c r="AN143" s="30">
        <v>37</v>
      </c>
      <c r="AO143" s="29">
        <v>2</v>
      </c>
      <c r="AP143" s="35">
        <v>11.875</v>
      </c>
      <c r="AQ143" s="35">
        <v>13.3333333333333</v>
      </c>
      <c r="AR143" s="35">
        <v>11.6666666666667</v>
      </c>
      <c r="AS143" s="35">
        <v>0</v>
      </c>
      <c r="AT143" s="35">
        <v>20</v>
      </c>
      <c r="AU143" s="35">
        <v>22</v>
      </c>
      <c r="AV143" s="35">
        <v>51.6666666666667</v>
      </c>
      <c r="AW143" s="35">
        <v>56.9444444444444</v>
      </c>
      <c r="AX143" s="35">
        <v>83.3333333333333</v>
      </c>
      <c r="AY143" s="35">
        <v>46.3675213675214</v>
      </c>
      <c r="AZ143" s="35">
        <v>34.6604938271605</v>
      </c>
      <c r="BA143" s="29">
        <v>4</v>
      </c>
      <c r="BB143" s="29">
        <v>1</v>
      </c>
      <c r="BC143" s="29">
        <v>1</v>
      </c>
      <c r="BD143" s="14">
        <v>0</v>
      </c>
      <c r="BE143" s="44">
        <v>1099</v>
      </c>
      <c r="BF143" s="14">
        <f t="shared" si="2"/>
        <v>0</v>
      </c>
    </row>
    <row r="144" spans="1:58">
      <c r="A144" s="14" t="s">
        <v>222</v>
      </c>
      <c r="B144" s="14" t="s">
        <v>222</v>
      </c>
      <c r="C144" s="15" t="s">
        <v>192</v>
      </c>
      <c r="D144" s="40">
        <v>53.27</v>
      </c>
      <c r="E144" s="40">
        <v>0.430480451693258</v>
      </c>
      <c r="F144" s="40">
        <v>137.3</v>
      </c>
      <c r="G144" s="40">
        <v>2.04786628074152</v>
      </c>
      <c r="H144" s="40">
        <v>76.83</v>
      </c>
      <c r="I144" s="40">
        <v>0.451632705944034</v>
      </c>
      <c r="J144" s="40">
        <v>366.08</v>
      </c>
      <c r="K144" s="40">
        <v>3.57297123307597</v>
      </c>
      <c r="L144" s="40">
        <v>11.17</v>
      </c>
      <c r="M144" s="40">
        <v>1.50574912067767</v>
      </c>
      <c r="N144" s="40">
        <v>2776</v>
      </c>
      <c r="O144" s="40">
        <v>2.85480624442832</v>
      </c>
      <c r="P144" s="40">
        <v>123.5</v>
      </c>
      <c r="Q144" s="40">
        <v>3.25048149809378</v>
      </c>
      <c r="R144" s="40">
        <v>116.5</v>
      </c>
      <c r="S144" s="40">
        <v>2.8037354934822</v>
      </c>
      <c r="T144" s="40">
        <v>156.67</v>
      </c>
      <c r="U144" s="40">
        <v>4.48271394198072</v>
      </c>
      <c r="V144" s="40">
        <v>15.48</v>
      </c>
      <c r="W144" s="41">
        <v>2.11768188664885</v>
      </c>
      <c r="X144" s="41"/>
      <c r="Y144" s="40"/>
      <c r="Z144" s="40">
        <v>19.13</v>
      </c>
      <c r="AA144" s="40">
        <v>0.638269666040412</v>
      </c>
      <c r="AB144" s="40">
        <v>510</v>
      </c>
      <c r="AC144" s="41">
        <v>3.16347056434847</v>
      </c>
      <c r="AD144" s="41"/>
      <c r="AE144" s="40"/>
      <c r="AF144" s="40">
        <v>133.35</v>
      </c>
      <c r="AG144" s="40">
        <v>-0.726307145328768</v>
      </c>
      <c r="AH144" s="45">
        <v>49.48</v>
      </c>
      <c r="AI144" s="23">
        <v>-0.153146595656198</v>
      </c>
      <c r="AJ144" s="24">
        <v>60</v>
      </c>
      <c r="AK144" s="29">
        <v>1</v>
      </c>
      <c r="AL144" s="14">
        <v>1</v>
      </c>
      <c r="AM144" s="29">
        <v>3</v>
      </c>
      <c r="AN144" s="30">
        <v>1</v>
      </c>
      <c r="AO144" s="29">
        <v>3</v>
      </c>
      <c r="AP144" s="35">
        <v>20</v>
      </c>
      <c r="AQ144" s="35">
        <v>26.6666666666667</v>
      </c>
      <c r="AR144" s="35">
        <v>25</v>
      </c>
      <c r="AS144" s="35">
        <v>11</v>
      </c>
      <c r="AT144" s="35">
        <v>19</v>
      </c>
      <c r="AU144" s="35">
        <v>10</v>
      </c>
      <c r="AV144" s="35">
        <v>68.3333333333333</v>
      </c>
      <c r="AW144" s="35">
        <v>27.0833333333333</v>
      </c>
      <c r="AX144" s="35">
        <v>83.3333333333333</v>
      </c>
      <c r="AY144" s="35">
        <v>71.1538461538462</v>
      </c>
      <c r="AZ144" s="35">
        <v>36.5740740740741</v>
      </c>
      <c r="BA144" s="29">
        <v>4</v>
      </c>
      <c r="BB144" s="29">
        <v>0</v>
      </c>
      <c r="BC144" s="29">
        <v>0</v>
      </c>
      <c r="BD144" s="14">
        <v>1</v>
      </c>
      <c r="BE144" s="44">
        <v>761</v>
      </c>
      <c r="BF144" s="14">
        <f t="shared" si="2"/>
        <v>0</v>
      </c>
    </row>
    <row r="145" spans="1:58">
      <c r="A145" s="14" t="s">
        <v>223</v>
      </c>
      <c r="B145" s="14" t="s">
        <v>223</v>
      </c>
      <c r="C145" s="15" t="s">
        <v>192</v>
      </c>
      <c r="D145" s="40">
        <v>31.09</v>
      </c>
      <c r="E145" s="40">
        <v>-0.172536917387851</v>
      </c>
      <c r="F145" s="40">
        <v>98.9</v>
      </c>
      <c r="G145" s="40">
        <v>0.577044680594989</v>
      </c>
      <c r="H145" s="40">
        <v>56.23</v>
      </c>
      <c r="I145" s="40">
        <v>0.022814779024459</v>
      </c>
      <c r="J145" s="40">
        <v>134.49</v>
      </c>
      <c r="K145" s="40">
        <v>0.943260844596015</v>
      </c>
      <c r="L145" s="40">
        <v>4.29</v>
      </c>
      <c r="M145" s="40">
        <v>0.0642193147551251</v>
      </c>
      <c r="N145" s="40">
        <v>1174</v>
      </c>
      <c r="O145" s="40">
        <v>0.937144041667593</v>
      </c>
      <c r="P145" s="40">
        <v>45.3</v>
      </c>
      <c r="Q145" s="40">
        <v>0.862312311755546</v>
      </c>
      <c r="R145" s="40">
        <v>66.8</v>
      </c>
      <c r="S145" s="40">
        <v>1.33715217583713</v>
      </c>
      <c r="T145" s="40">
        <v>28.38</v>
      </c>
      <c r="U145" s="40">
        <v>0.114548159068313</v>
      </c>
      <c r="V145" s="40">
        <v>10.09</v>
      </c>
      <c r="W145" s="41">
        <v>0.417581293992228</v>
      </c>
      <c r="X145" s="41"/>
      <c r="Y145" s="40"/>
      <c r="Z145" s="40">
        <v>11.99</v>
      </c>
      <c r="AA145" s="40">
        <v>-0.434023372907481</v>
      </c>
      <c r="AB145" s="40">
        <v>184.56</v>
      </c>
      <c r="AC145" s="41">
        <v>0.83419004709399</v>
      </c>
      <c r="AD145" s="41"/>
      <c r="AE145" s="40"/>
      <c r="AF145" s="40">
        <v>188.94</v>
      </c>
      <c r="AG145" s="40">
        <v>-0.347539189014678</v>
      </c>
      <c r="AH145" s="45">
        <v>27.02</v>
      </c>
      <c r="AI145" s="23">
        <v>-0.218234833402989</v>
      </c>
      <c r="AJ145" s="24">
        <v>79</v>
      </c>
      <c r="AK145" s="29">
        <v>1</v>
      </c>
      <c r="AL145" s="14">
        <v>1</v>
      </c>
      <c r="AM145" s="29">
        <v>2</v>
      </c>
      <c r="AN145" s="30">
        <v>45</v>
      </c>
      <c r="AO145" s="29">
        <v>3</v>
      </c>
      <c r="AP145" s="35">
        <v>1.25</v>
      </c>
      <c r="AQ145" s="35">
        <v>3.33333333333333</v>
      </c>
      <c r="AR145" s="35">
        <v>0</v>
      </c>
      <c r="AS145" s="35">
        <v>4.5</v>
      </c>
      <c r="AT145" s="35">
        <v>4</v>
      </c>
      <c r="AU145" s="35">
        <v>5.5</v>
      </c>
      <c r="AV145" s="35">
        <v>90</v>
      </c>
      <c r="AW145" s="35">
        <v>15.9722222222222</v>
      </c>
      <c r="AX145" s="35">
        <v>75</v>
      </c>
      <c r="AY145" s="35">
        <v>86.3247863247863</v>
      </c>
      <c r="AZ145" s="35">
        <v>20.4320987654321</v>
      </c>
      <c r="BA145" s="29">
        <v>1</v>
      </c>
      <c r="BB145" s="29">
        <v>0</v>
      </c>
      <c r="BC145" s="29">
        <v>0</v>
      </c>
      <c r="BD145" s="14">
        <v>0</v>
      </c>
      <c r="BE145" s="44">
        <v>1077</v>
      </c>
      <c r="BF145" s="14">
        <f t="shared" si="2"/>
        <v>0</v>
      </c>
    </row>
    <row r="146" spans="1:58">
      <c r="A146" s="48" t="s">
        <v>224</v>
      </c>
      <c r="B146" s="48" t="s">
        <v>225</v>
      </c>
      <c r="C146" s="15" t="s">
        <v>192</v>
      </c>
      <c r="D146" s="49">
        <v>15.69</v>
      </c>
      <c r="E146" s="49">
        <v>-0.591223458589343</v>
      </c>
      <c r="F146" s="49">
        <v>54.92</v>
      </c>
      <c r="G146" s="49">
        <v>-1.10750568332284</v>
      </c>
      <c r="H146" s="49">
        <v>31.01</v>
      </c>
      <c r="I146" s="49">
        <v>-0.50217493538873</v>
      </c>
      <c r="J146" s="49">
        <v>7.24</v>
      </c>
      <c r="K146" s="49">
        <v>-0.501666168375506</v>
      </c>
      <c r="L146" s="49">
        <v>2.74</v>
      </c>
      <c r="M146" s="49">
        <v>-0.260543940939635</v>
      </c>
      <c r="N146" s="49">
        <v>20.54</v>
      </c>
      <c r="O146" s="52">
        <v>-0.443596685171599</v>
      </c>
      <c r="P146" s="52">
        <v>0</v>
      </c>
      <c r="Q146" s="49">
        <v>-0.521115618437831</v>
      </c>
      <c r="R146" s="49">
        <v>2.57</v>
      </c>
      <c r="S146" s="49">
        <v>-0.558192824008808</v>
      </c>
      <c r="T146" s="49">
        <v>9.28</v>
      </c>
      <c r="U146" s="49">
        <v>-0.53579065497508</v>
      </c>
      <c r="V146" s="49">
        <v>4.77</v>
      </c>
      <c r="W146" s="23">
        <v>-1.26044007018834</v>
      </c>
      <c r="X146" s="23"/>
      <c r="Y146" s="49"/>
      <c r="Z146" s="49">
        <v>9.87</v>
      </c>
      <c r="AA146" s="49">
        <v>-0.752407300438228</v>
      </c>
      <c r="AB146" s="49">
        <v>5.76</v>
      </c>
      <c r="AC146" s="23">
        <v>-0.445540030601132</v>
      </c>
      <c r="AD146" s="23"/>
      <c r="AE146" s="49"/>
      <c r="AF146" s="49">
        <v>62.64</v>
      </c>
      <c r="AG146" s="49">
        <v>-1.20809671523288</v>
      </c>
      <c r="AH146" s="54">
        <v>34.54</v>
      </c>
      <c r="AI146" s="23">
        <v>-0.196442155404063</v>
      </c>
      <c r="AJ146" s="24">
        <v>69</v>
      </c>
      <c r="AK146" s="29">
        <v>1</v>
      </c>
      <c r="AL146" s="14">
        <v>1</v>
      </c>
      <c r="AM146" s="29">
        <v>3</v>
      </c>
      <c r="AN146" s="30"/>
      <c r="AO146" s="29">
        <v>3</v>
      </c>
      <c r="AP146" s="35"/>
      <c r="AQ146" s="35"/>
      <c r="AR146" s="35"/>
      <c r="AS146" s="35"/>
      <c r="AT146" s="35"/>
      <c r="AU146" s="35"/>
      <c r="AV146" s="35"/>
      <c r="AW146" s="35"/>
      <c r="AX146" s="35"/>
      <c r="AY146" s="35"/>
      <c r="AZ146" s="35"/>
      <c r="BA146" s="29">
        <v>2</v>
      </c>
      <c r="BB146" s="29">
        <v>1</v>
      </c>
      <c r="BC146" s="29">
        <v>1</v>
      </c>
      <c r="BD146" s="29">
        <v>1</v>
      </c>
      <c r="BE146" s="24">
        <v>761</v>
      </c>
      <c r="BF146" s="29">
        <f t="shared" si="2"/>
        <v>0</v>
      </c>
    </row>
    <row r="147" spans="1:58">
      <c r="A147" s="48" t="s">
        <v>226</v>
      </c>
      <c r="B147" s="48" t="s">
        <v>227</v>
      </c>
      <c r="C147" s="15" t="s">
        <v>192</v>
      </c>
      <c r="D147" s="49">
        <v>9.74</v>
      </c>
      <c r="E147" s="49">
        <v>-0.752988713144465</v>
      </c>
      <c r="F147" s="49">
        <v>52.36</v>
      </c>
      <c r="G147" s="49">
        <v>-1.20556045666594</v>
      </c>
      <c r="H147" s="49">
        <v>40.56</v>
      </c>
      <c r="I147" s="49">
        <v>-0.30337827509349</v>
      </c>
      <c r="J147" s="49">
        <v>8.75</v>
      </c>
      <c r="K147" s="49">
        <v>-0.484520079655765</v>
      </c>
      <c r="L147" s="49">
        <v>2.19</v>
      </c>
      <c r="M147" s="49">
        <v>-0.375782515541002</v>
      </c>
      <c r="N147" s="49">
        <v>25.69</v>
      </c>
      <c r="O147" s="49">
        <v>-0.43743191591803</v>
      </c>
      <c r="P147" s="49">
        <v>2.19</v>
      </c>
      <c r="Q147" s="49">
        <v>-0.454234665521198</v>
      </c>
      <c r="R147" s="49">
        <v>5.05</v>
      </c>
      <c r="S147" s="49">
        <v>-0.485011201719879</v>
      </c>
      <c r="T147" s="49">
        <v>12.59</v>
      </c>
      <c r="U147" s="49">
        <v>-0.423087959975937</v>
      </c>
      <c r="V147" s="49">
        <v>5.22</v>
      </c>
      <c r="W147" s="23">
        <v>-1.11850217284224</v>
      </c>
      <c r="X147" s="23"/>
      <c r="Y147" s="49"/>
      <c r="Z147" s="49">
        <v>9.44</v>
      </c>
      <c r="AA147" s="49">
        <v>-0.816985172531729</v>
      </c>
      <c r="AB147" s="49">
        <v>7.43</v>
      </c>
      <c r="AC147" s="23">
        <v>-0.433587294416843</v>
      </c>
      <c r="AD147" s="23"/>
      <c r="AE147" s="49"/>
      <c r="AF147" s="49">
        <v>106.65</v>
      </c>
      <c r="AG147" s="49">
        <v>-0.908230232819076</v>
      </c>
      <c r="AH147" s="54">
        <v>57.63</v>
      </c>
      <c r="AI147" s="23">
        <v>-0.129528201282363</v>
      </c>
      <c r="AJ147" s="24">
        <v>62</v>
      </c>
      <c r="AK147" s="29">
        <v>1</v>
      </c>
      <c r="AL147" s="29">
        <v>1</v>
      </c>
      <c r="AM147" s="29">
        <v>3</v>
      </c>
      <c r="AN147" s="30"/>
      <c r="AO147" s="29">
        <v>3</v>
      </c>
      <c r="AP147" s="35"/>
      <c r="AQ147" s="35"/>
      <c r="AR147" s="35"/>
      <c r="AS147" s="35"/>
      <c r="AT147" s="35"/>
      <c r="AU147" s="35"/>
      <c r="AV147" s="35"/>
      <c r="AW147" s="35"/>
      <c r="AX147" s="35"/>
      <c r="AY147" s="35"/>
      <c r="AZ147" s="35"/>
      <c r="BA147" s="29">
        <v>3</v>
      </c>
      <c r="BB147" s="29">
        <v>0</v>
      </c>
      <c r="BC147" s="29">
        <v>1</v>
      </c>
      <c r="BD147" s="29">
        <v>1</v>
      </c>
      <c r="BE147" s="24">
        <v>792</v>
      </c>
      <c r="BF147" s="29">
        <f t="shared" si="2"/>
        <v>0</v>
      </c>
    </row>
    <row r="148" spans="1:58">
      <c r="A148" s="48" t="s">
        <v>228</v>
      </c>
      <c r="B148" s="48" t="s">
        <v>229</v>
      </c>
      <c r="C148" s="15" t="s">
        <v>192</v>
      </c>
      <c r="D148" s="49">
        <v>8.48</v>
      </c>
      <c r="E148" s="49">
        <v>-0.787244884697314</v>
      </c>
      <c r="F148" s="49">
        <v>47.15</v>
      </c>
      <c r="G148" s="49">
        <v>-1.40511724147749</v>
      </c>
      <c r="H148" s="49">
        <v>106.05</v>
      </c>
      <c r="I148" s="49">
        <v>1.05988803723481</v>
      </c>
      <c r="J148" s="49">
        <v>9.96</v>
      </c>
      <c r="K148" s="49">
        <v>-0.470780498628688</v>
      </c>
      <c r="L148" s="49">
        <v>2.49</v>
      </c>
      <c r="M148" s="49">
        <v>-0.312925111212984</v>
      </c>
      <c r="N148" s="49">
        <v>42.41</v>
      </c>
      <c r="O148" s="49">
        <v>-0.417417364088967</v>
      </c>
      <c r="P148" s="49">
        <v>3.16</v>
      </c>
      <c r="Q148" s="49">
        <v>-0.424611595051273</v>
      </c>
      <c r="R148" s="49">
        <v>5.94</v>
      </c>
      <c r="S148" s="49">
        <v>-0.458748442108126</v>
      </c>
      <c r="T148" s="49">
        <v>11.05</v>
      </c>
      <c r="U148" s="49">
        <v>-0.475523654930221</v>
      </c>
      <c r="V148" s="49">
        <v>6.09</v>
      </c>
      <c r="W148" s="23">
        <v>-0.844088904639777</v>
      </c>
      <c r="X148" s="23"/>
      <c r="Y148" s="49"/>
      <c r="Z148" s="49">
        <v>18.65</v>
      </c>
      <c r="AA148" s="49">
        <v>0.566182739052318</v>
      </c>
      <c r="AB148" s="49">
        <v>8.66</v>
      </c>
      <c r="AC148" s="23">
        <v>-0.424783782137397</v>
      </c>
      <c r="AD148" s="23"/>
      <c r="AE148" s="49"/>
      <c r="AF148" s="49">
        <v>74.71</v>
      </c>
      <c r="AG148" s="49">
        <v>-1.12585657792921</v>
      </c>
      <c r="AH148" s="54">
        <v>158.9</v>
      </c>
      <c r="AI148" s="23">
        <v>0.163948461078166</v>
      </c>
      <c r="AJ148" s="24">
        <v>26</v>
      </c>
      <c r="AK148" s="29">
        <v>2</v>
      </c>
      <c r="AL148" s="29">
        <v>1</v>
      </c>
      <c r="AM148" s="29">
        <v>2</v>
      </c>
      <c r="AN148" s="30"/>
      <c r="AO148" s="29">
        <v>1</v>
      </c>
      <c r="AP148" s="35"/>
      <c r="AQ148" s="35"/>
      <c r="AR148" s="35"/>
      <c r="AS148" s="35"/>
      <c r="AT148" s="35"/>
      <c r="AU148" s="35"/>
      <c r="AV148" s="35"/>
      <c r="AW148" s="35"/>
      <c r="AX148" s="35"/>
      <c r="AY148" s="35"/>
      <c r="AZ148" s="35"/>
      <c r="BA148" s="29">
        <v>3</v>
      </c>
      <c r="BB148" s="29">
        <v>1</v>
      </c>
      <c r="BC148" s="29">
        <v>1</v>
      </c>
      <c r="BD148" s="29">
        <v>0</v>
      </c>
      <c r="BE148" s="24">
        <v>1917</v>
      </c>
      <c r="BF148" s="29">
        <f t="shared" si="2"/>
        <v>0</v>
      </c>
    </row>
    <row r="149" spans="1:58">
      <c r="A149" s="48" t="s">
        <v>230</v>
      </c>
      <c r="B149" s="48" t="s">
        <v>231</v>
      </c>
      <c r="C149" s="15" t="s">
        <v>192</v>
      </c>
      <c r="D149" s="49">
        <v>15.79</v>
      </c>
      <c r="E149" s="49">
        <v>-0.588504714815308</v>
      </c>
      <c r="F149" s="49">
        <v>83.26</v>
      </c>
      <c r="G149" s="49">
        <v>-0.0220087002980256</v>
      </c>
      <c r="H149" s="49">
        <v>33.14</v>
      </c>
      <c r="I149" s="49">
        <v>-0.457835994401414</v>
      </c>
      <c r="J149" s="49">
        <v>12.13</v>
      </c>
      <c r="K149" s="49">
        <v>-0.446140092985087</v>
      </c>
      <c r="L149" s="49">
        <v>2.71</v>
      </c>
      <c r="M149" s="49">
        <v>-0.266829681372437</v>
      </c>
      <c r="N149" s="49">
        <v>141.3</v>
      </c>
      <c r="O149" s="49">
        <v>-0.299041823994705</v>
      </c>
      <c r="P149" s="49">
        <v>2.36</v>
      </c>
      <c r="Q149" s="49">
        <v>-0.449042993376984</v>
      </c>
      <c r="R149" s="49">
        <v>3.88</v>
      </c>
      <c r="S149" s="49">
        <v>-0.519536402557801</v>
      </c>
      <c r="T149" s="49">
        <v>14.76</v>
      </c>
      <c r="U149" s="49">
        <v>-0.349201298903991</v>
      </c>
      <c r="V149" s="49">
        <v>5.74</v>
      </c>
      <c r="W149" s="23">
        <v>-0.954485047020077</v>
      </c>
      <c r="X149" s="23"/>
      <c r="Y149" s="49"/>
      <c r="Z149" s="49">
        <v>10.77</v>
      </c>
      <c r="AA149" s="49">
        <v>-0.617244312335553</v>
      </c>
      <c r="AB149" s="49">
        <v>9.55</v>
      </c>
      <c r="AC149" s="23">
        <v>-0.418413761057147</v>
      </c>
      <c r="AD149" s="23"/>
      <c r="AE149" s="49"/>
      <c r="AF149" s="49">
        <v>173.81</v>
      </c>
      <c r="AG149" s="49">
        <v>-0.450628938592519</v>
      </c>
      <c r="AH149" s="54">
        <v>58.84</v>
      </c>
      <c r="AI149" s="23">
        <v>-0.126021666657536</v>
      </c>
      <c r="AJ149" s="24">
        <v>52</v>
      </c>
      <c r="AK149" s="29">
        <v>1</v>
      </c>
      <c r="AL149" s="29">
        <v>1</v>
      </c>
      <c r="AM149" s="29">
        <v>1</v>
      </c>
      <c r="AN149" s="30"/>
      <c r="AO149" s="29">
        <v>3</v>
      </c>
      <c r="AP149" s="35"/>
      <c r="AQ149" s="35"/>
      <c r="AR149" s="35"/>
      <c r="AS149" s="35"/>
      <c r="AT149" s="35"/>
      <c r="AU149" s="35"/>
      <c r="AV149" s="35"/>
      <c r="AW149" s="35"/>
      <c r="AX149" s="35"/>
      <c r="AY149" s="35"/>
      <c r="AZ149" s="35"/>
      <c r="BA149" s="29">
        <v>2</v>
      </c>
      <c r="BB149" s="29">
        <v>0</v>
      </c>
      <c r="BC149" s="29">
        <v>0</v>
      </c>
      <c r="BD149" s="29">
        <v>0</v>
      </c>
      <c r="BE149" s="24">
        <v>1770</v>
      </c>
      <c r="BF149" s="29">
        <f t="shared" si="2"/>
        <v>0</v>
      </c>
    </row>
    <row r="150" spans="1:58">
      <c r="A150" s="48" t="s">
        <v>232</v>
      </c>
      <c r="B150" s="48" t="s">
        <v>233</v>
      </c>
      <c r="C150" s="15" t="s">
        <v>192</v>
      </c>
      <c r="D150" s="49">
        <v>60.44</v>
      </c>
      <c r="E150" s="49">
        <v>0.625414380291615</v>
      </c>
      <c r="F150" s="49">
        <v>76.63</v>
      </c>
      <c r="G150" s="49">
        <v>-0.275955242198326</v>
      </c>
      <c r="H150" s="49">
        <v>24.98</v>
      </c>
      <c r="I150" s="49">
        <v>-0.627697852831693</v>
      </c>
      <c r="J150" s="49">
        <v>8.16</v>
      </c>
      <c r="K150" s="52">
        <v>-0.491219544784671</v>
      </c>
      <c r="L150" s="52">
        <v>0</v>
      </c>
      <c r="M150" s="49">
        <v>-0.834641567135534</v>
      </c>
      <c r="N150" s="49">
        <v>27.84</v>
      </c>
      <c r="O150" s="49">
        <v>-0.434858274384987</v>
      </c>
      <c r="P150" s="49">
        <v>2.3</v>
      </c>
      <c r="Q150" s="49">
        <v>-0.450875348251413</v>
      </c>
      <c r="R150" s="49">
        <v>3.87</v>
      </c>
      <c r="S150" s="49">
        <v>-0.51983148974445</v>
      </c>
      <c r="T150" s="49">
        <v>13.96</v>
      </c>
      <c r="U150" s="49">
        <v>-0.376440620958164</v>
      </c>
      <c r="V150" s="49">
        <v>6.02</v>
      </c>
      <c r="W150" s="23">
        <v>-0.866168133115837</v>
      </c>
      <c r="X150" s="23"/>
      <c r="Y150" s="49"/>
      <c r="Z150" s="49">
        <v>7.7</v>
      </c>
      <c r="AA150" s="49">
        <v>-1.07830028286357</v>
      </c>
      <c r="AB150" s="49">
        <v>5.62</v>
      </c>
      <c r="AC150" s="23">
        <v>-0.446542056389037</v>
      </c>
      <c r="AD150" s="23"/>
      <c r="AE150" s="49"/>
      <c r="AF150" s="49">
        <v>222.45</v>
      </c>
      <c r="AG150" s="49">
        <v>-0.119215493816168</v>
      </c>
      <c r="AH150" s="54">
        <v>60.05</v>
      </c>
      <c r="AI150" s="23">
        <v>-0.122515132032709</v>
      </c>
      <c r="AJ150" s="24">
        <v>61</v>
      </c>
      <c r="AK150" s="29">
        <v>2</v>
      </c>
      <c r="AL150" s="29">
        <v>3</v>
      </c>
      <c r="AM150" s="29">
        <v>2</v>
      </c>
      <c r="AN150" s="30"/>
      <c r="AO150" s="29">
        <v>1</v>
      </c>
      <c r="AP150" s="35"/>
      <c r="AQ150" s="35"/>
      <c r="AR150" s="35"/>
      <c r="AS150" s="35"/>
      <c r="AT150" s="35"/>
      <c r="AU150" s="35"/>
      <c r="AV150" s="35"/>
      <c r="AW150" s="35"/>
      <c r="AX150" s="35"/>
      <c r="AY150" s="35"/>
      <c r="AZ150" s="35"/>
      <c r="BA150" s="29">
        <v>2</v>
      </c>
      <c r="BB150" s="29">
        <v>0</v>
      </c>
      <c r="BC150" s="29">
        <v>0</v>
      </c>
      <c r="BD150" s="29">
        <v>1</v>
      </c>
      <c r="BE150" s="24">
        <v>1064</v>
      </c>
      <c r="BF150" s="29">
        <f t="shared" si="2"/>
        <v>0</v>
      </c>
    </row>
    <row r="151" spans="1:58">
      <c r="A151" s="48" t="s">
        <v>234</v>
      </c>
      <c r="B151" s="48" t="s">
        <v>235</v>
      </c>
      <c r="C151" s="15" t="s">
        <v>192</v>
      </c>
      <c r="D151" s="49">
        <v>50.68</v>
      </c>
      <c r="E151" s="49">
        <v>0.360064987945735</v>
      </c>
      <c r="F151" s="49">
        <v>80.9</v>
      </c>
      <c r="G151" s="49">
        <v>-0.112402944473698</v>
      </c>
      <c r="H151" s="49">
        <v>41.26</v>
      </c>
      <c r="I151" s="49">
        <v>-0.288806792139912</v>
      </c>
      <c r="J151" s="49">
        <v>79.14</v>
      </c>
      <c r="K151" s="49">
        <v>0.314760175299562</v>
      </c>
      <c r="L151" s="49">
        <v>3.28</v>
      </c>
      <c r="M151" s="49">
        <v>-0.147400613149203</v>
      </c>
      <c r="N151" s="49">
        <v>528.44</v>
      </c>
      <c r="O151" s="49">
        <v>0.164381237913402</v>
      </c>
      <c r="P151" s="49">
        <v>24.19</v>
      </c>
      <c r="Q151" s="49">
        <v>0.217628788435851</v>
      </c>
      <c r="R151" s="49">
        <v>35.08</v>
      </c>
      <c r="S151" s="49">
        <v>0.401135619786793</v>
      </c>
      <c r="T151" s="49">
        <v>33.21</v>
      </c>
      <c r="U151" s="49">
        <v>0.279005565970386</v>
      </c>
      <c r="V151" s="49">
        <v>5.95</v>
      </c>
      <c r="W151" s="23">
        <v>-0.888247361591897</v>
      </c>
      <c r="X151" s="23"/>
      <c r="Y151" s="49"/>
      <c r="Z151" s="49">
        <v>9.48</v>
      </c>
      <c r="AA151" s="49">
        <v>-0.810977928616054</v>
      </c>
      <c r="AB151" s="49">
        <v>99.68</v>
      </c>
      <c r="AC151" s="23">
        <v>0.22667612654163</v>
      </c>
      <c r="AD151" s="23"/>
      <c r="AE151" s="49"/>
      <c r="AF151" s="49">
        <v>322.11</v>
      </c>
      <c r="AG151" s="49">
        <v>0.559827760838667</v>
      </c>
      <c r="AH151" s="54">
        <v>70.13</v>
      </c>
      <c r="AI151" s="23">
        <v>-0.0933036700341491</v>
      </c>
      <c r="AJ151" s="24">
        <v>57</v>
      </c>
      <c r="AK151" s="29">
        <v>2</v>
      </c>
      <c r="AL151" s="29">
        <v>1</v>
      </c>
      <c r="AM151" s="29">
        <v>2</v>
      </c>
      <c r="AN151" s="30"/>
      <c r="AO151" s="29">
        <v>3</v>
      </c>
      <c r="AP151" s="35"/>
      <c r="AQ151" s="35"/>
      <c r="AR151" s="35"/>
      <c r="AS151" s="35"/>
      <c r="AT151" s="35"/>
      <c r="AU151" s="35"/>
      <c r="AV151" s="35"/>
      <c r="AW151" s="35"/>
      <c r="AX151" s="35"/>
      <c r="AY151" s="35"/>
      <c r="AZ151" s="35"/>
      <c r="BA151" s="29">
        <v>2</v>
      </c>
      <c r="BB151" s="29">
        <v>0</v>
      </c>
      <c r="BC151" s="29">
        <v>0</v>
      </c>
      <c r="BD151" s="29">
        <v>0</v>
      </c>
      <c r="BE151" s="24">
        <v>1714</v>
      </c>
      <c r="BF151" s="29">
        <f t="shared" si="2"/>
        <v>0</v>
      </c>
    </row>
    <row r="152" spans="1:58">
      <c r="A152" s="48" t="s">
        <v>236</v>
      </c>
      <c r="B152" s="48" t="s">
        <v>237</v>
      </c>
      <c r="C152" s="15" t="s">
        <v>192</v>
      </c>
      <c r="D152" s="49">
        <v>90.26</v>
      </c>
      <c r="E152" s="49">
        <v>1.43614377370905</v>
      </c>
      <c r="F152" s="49">
        <v>67.44</v>
      </c>
      <c r="G152" s="49">
        <v>-0.627956557441728</v>
      </c>
      <c r="H152" s="49">
        <v>19.29</v>
      </c>
      <c r="I152" s="49">
        <v>-0.746143192840061</v>
      </c>
      <c r="J152" s="49">
        <v>10.32</v>
      </c>
      <c r="K152" s="52">
        <v>-0.466692689397492</v>
      </c>
      <c r="L152" s="52">
        <v>0</v>
      </c>
      <c r="M152" s="49">
        <v>-0.834641567135534</v>
      </c>
      <c r="N152" s="49">
        <v>39.42</v>
      </c>
      <c r="O152" s="49">
        <v>-0.420996521383758</v>
      </c>
      <c r="P152" s="49">
        <v>2.02</v>
      </c>
      <c r="Q152" s="49">
        <v>-0.459426337665411</v>
      </c>
      <c r="R152" s="49">
        <v>3.41</v>
      </c>
      <c r="S152" s="49">
        <v>-0.5334055003303</v>
      </c>
      <c r="T152" s="49">
        <v>9.5</v>
      </c>
      <c r="U152" s="49">
        <v>-0.528299841410182</v>
      </c>
      <c r="V152" s="49">
        <v>6.09</v>
      </c>
      <c r="W152" s="23">
        <v>-0.844088904639777</v>
      </c>
      <c r="X152" s="23"/>
      <c r="Y152" s="49"/>
      <c r="Z152" s="49">
        <v>7.88</v>
      </c>
      <c r="AA152" s="49">
        <v>-1.05126768524303</v>
      </c>
      <c r="AB152" s="49">
        <v>7.77</v>
      </c>
      <c r="AC152" s="23">
        <v>-0.431153803217647</v>
      </c>
      <c r="AD152" s="23"/>
      <c r="AE152" s="49"/>
      <c r="AF152" s="49">
        <v>464.45</v>
      </c>
      <c r="AG152" s="49">
        <v>1.5296754115267</v>
      </c>
      <c r="AH152" s="54">
        <v>142.7</v>
      </c>
      <c r="AI152" s="23">
        <v>0.117001468580481</v>
      </c>
      <c r="AJ152" s="24">
        <v>72</v>
      </c>
      <c r="AK152" s="29">
        <v>1</v>
      </c>
      <c r="AL152" s="29">
        <v>3</v>
      </c>
      <c r="AM152" s="29">
        <v>2</v>
      </c>
      <c r="AN152" s="30"/>
      <c r="AO152" s="29">
        <v>3</v>
      </c>
      <c r="AP152" s="35"/>
      <c r="AQ152" s="35"/>
      <c r="AR152" s="35"/>
      <c r="AS152" s="35"/>
      <c r="AT152" s="35"/>
      <c r="AU152" s="35"/>
      <c r="AV152" s="35"/>
      <c r="AW152" s="35"/>
      <c r="AX152" s="35"/>
      <c r="AY152" s="35"/>
      <c r="AZ152" s="35"/>
      <c r="BA152" s="29">
        <v>3</v>
      </c>
      <c r="BB152" s="29">
        <v>0</v>
      </c>
      <c r="BC152" s="29">
        <v>0</v>
      </c>
      <c r="BD152" s="29">
        <v>0</v>
      </c>
      <c r="BE152" s="24">
        <v>1770</v>
      </c>
      <c r="BF152" s="29">
        <f t="shared" si="2"/>
        <v>0</v>
      </c>
    </row>
    <row r="153" spans="1:58">
      <c r="A153" s="48" t="s">
        <v>238</v>
      </c>
      <c r="B153" s="48" t="s">
        <v>239</v>
      </c>
      <c r="C153" s="15" t="s">
        <v>192</v>
      </c>
      <c r="D153" s="49">
        <v>10.33</v>
      </c>
      <c r="E153" s="49">
        <v>-0.736948124877655</v>
      </c>
      <c r="F153" s="49">
        <v>49.76</v>
      </c>
      <c r="G153" s="49">
        <v>-1.30514733584253</v>
      </c>
      <c r="H153" s="49">
        <v>33.49</v>
      </c>
      <c r="I153" s="49">
        <v>-0.450550252924625</v>
      </c>
      <c r="J153" s="49">
        <v>13.95</v>
      </c>
      <c r="K153" s="49">
        <v>-0.425473946316261</v>
      </c>
      <c r="L153" s="49">
        <v>2.25</v>
      </c>
      <c r="M153" s="49">
        <v>-0.363211034675398</v>
      </c>
      <c r="N153" s="49">
        <v>55.99</v>
      </c>
      <c r="O153" s="49">
        <v>-0.401161525940721</v>
      </c>
      <c r="P153" s="49">
        <v>3.15</v>
      </c>
      <c r="Q153" s="49">
        <v>-0.424916987530345</v>
      </c>
      <c r="R153" s="49">
        <v>4.65</v>
      </c>
      <c r="S153" s="49">
        <v>-0.496814689185835</v>
      </c>
      <c r="T153" s="49">
        <v>17.04</v>
      </c>
      <c r="U153" s="49">
        <v>-0.271569231049596</v>
      </c>
      <c r="V153" s="49">
        <v>6.46</v>
      </c>
      <c r="W153" s="23">
        <v>-0.727384411266316</v>
      </c>
      <c r="X153" s="23"/>
      <c r="Y153" s="49"/>
      <c r="Z153" s="49">
        <v>10.22</v>
      </c>
      <c r="AA153" s="49">
        <v>-0.699843916176076</v>
      </c>
      <c r="AB153" s="49">
        <v>9.95</v>
      </c>
      <c r="AC153" s="23">
        <v>-0.415550830234563</v>
      </c>
      <c r="AD153" s="23"/>
      <c r="AE153" s="49"/>
      <c r="AF153" s="49">
        <v>157.21</v>
      </c>
      <c r="AG153" s="49">
        <v>-0.563734678380501</v>
      </c>
      <c r="AH153" s="54">
        <v>26.37</v>
      </c>
      <c r="AI153" s="23">
        <v>-0.220118509027896</v>
      </c>
      <c r="AJ153" s="24">
        <v>64</v>
      </c>
      <c r="AK153" s="29">
        <v>1</v>
      </c>
      <c r="AL153" s="29">
        <v>1</v>
      </c>
      <c r="AM153" s="29">
        <v>2</v>
      </c>
      <c r="AN153" s="30"/>
      <c r="AO153" s="29">
        <v>3</v>
      </c>
      <c r="AP153" s="35"/>
      <c r="AQ153" s="35"/>
      <c r="AR153" s="35"/>
      <c r="AS153" s="35"/>
      <c r="AT153" s="35"/>
      <c r="AU153" s="35"/>
      <c r="AV153" s="35"/>
      <c r="AW153" s="35"/>
      <c r="AX153" s="35"/>
      <c r="AY153" s="35"/>
      <c r="AZ153" s="35"/>
      <c r="BA153" s="29">
        <v>5</v>
      </c>
      <c r="BB153" s="29">
        <v>1</v>
      </c>
      <c r="BC153" s="29">
        <v>1</v>
      </c>
      <c r="BD153" s="29">
        <v>0</v>
      </c>
      <c r="BE153" s="24">
        <v>1841</v>
      </c>
      <c r="BF153" s="29">
        <f t="shared" si="2"/>
        <v>0</v>
      </c>
    </row>
    <row r="154" spans="1:58">
      <c r="A154" s="48" t="s">
        <v>240</v>
      </c>
      <c r="B154" s="48" t="s">
        <v>241</v>
      </c>
      <c r="C154" s="15" t="s">
        <v>192</v>
      </c>
      <c r="D154" s="49">
        <v>10.94</v>
      </c>
      <c r="E154" s="49">
        <v>-0.720363787856037</v>
      </c>
      <c r="F154" s="49">
        <v>42.37</v>
      </c>
      <c r="G154" s="49">
        <v>-1.58820388857906</v>
      </c>
      <c r="H154" s="49">
        <v>23.2</v>
      </c>
      <c r="I154" s="49">
        <v>-0.664751052342219</v>
      </c>
      <c r="J154" s="49">
        <v>6.76</v>
      </c>
      <c r="K154" s="52">
        <v>-0.507116580683768</v>
      </c>
      <c r="L154" s="52">
        <v>0</v>
      </c>
      <c r="M154" s="49">
        <v>-0.834641567135534</v>
      </c>
      <c r="N154" s="49">
        <v>49.22</v>
      </c>
      <c r="O154" s="49">
        <v>-0.409265504163374</v>
      </c>
      <c r="P154" s="49">
        <v>2.1</v>
      </c>
      <c r="Q154" s="49">
        <v>-0.45698319783284</v>
      </c>
      <c r="R154" s="49">
        <v>10.65</v>
      </c>
      <c r="S154" s="49">
        <v>-0.31976237719649</v>
      </c>
      <c r="T154" s="49">
        <v>15.96</v>
      </c>
      <c r="U154" s="49">
        <v>-0.308342315822731</v>
      </c>
      <c r="V154" s="49">
        <v>4.18</v>
      </c>
      <c r="W154" s="23">
        <v>-1.44653642448656</v>
      </c>
      <c r="X154" s="23"/>
      <c r="Y154" s="49"/>
      <c r="Z154" s="49">
        <v>22.85</v>
      </c>
      <c r="AA154" s="49">
        <v>1.19694335019814</v>
      </c>
      <c r="AB154" s="49">
        <v>4.1</v>
      </c>
      <c r="AC154" s="23">
        <v>-0.457421193514857</v>
      </c>
      <c r="AD154" s="23"/>
      <c r="AE154" s="49"/>
      <c r="AF154" s="49">
        <v>53.62</v>
      </c>
      <c r="AG154" s="49">
        <v>-1.2695553762502</v>
      </c>
      <c r="AH154" s="54">
        <v>97.74</v>
      </c>
      <c r="AI154" s="23">
        <v>-0.0132909254130946</v>
      </c>
      <c r="AJ154" s="24">
        <v>64</v>
      </c>
      <c r="AK154" s="29">
        <v>1</v>
      </c>
      <c r="AL154" s="29">
        <v>1</v>
      </c>
      <c r="AM154" s="29">
        <v>2</v>
      </c>
      <c r="AN154" s="30"/>
      <c r="AO154" s="29">
        <v>3</v>
      </c>
      <c r="AP154" s="35"/>
      <c r="AQ154" s="35"/>
      <c r="AR154" s="35"/>
      <c r="AS154" s="35"/>
      <c r="AT154" s="35"/>
      <c r="AU154" s="35"/>
      <c r="AV154" s="35"/>
      <c r="AW154" s="35"/>
      <c r="AX154" s="35"/>
      <c r="AY154" s="35"/>
      <c r="AZ154" s="35"/>
      <c r="BA154" s="29">
        <v>3</v>
      </c>
      <c r="BB154" s="29">
        <v>0</v>
      </c>
      <c r="BC154" s="29">
        <v>0</v>
      </c>
      <c r="BD154" s="29">
        <v>0</v>
      </c>
      <c r="BE154" s="24">
        <v>357</v>
      </c>
      <c r="BF154" s="29">
        <f t="shared" si="2"/>
        <v>0</v>
      </c>
    </row>
    <row r="155" spans="1:58">
      <c r="A155" s="48" t="s">
        <v>242</v>
      </c>
      <c r="B155" s="48" t="s">
        <v>243</v>
      </c>
      <c r="C155" s="15" t="s">
        <v>192</v>
      </c>
      <c r="D155" s="49">
        <v>70.67</v>
      </c>
      <c r="E155" s="49">
        <v>0.903541868375463</v>
      </c>
      <c r="F155" s="49">
        <v>69.88</v>
      </c>
      <c r="G155" s="49">
        <v>-0.534498101599083</v>
      </c>
      <c r="H155" s="49">
        <v>25.69</v>
      </c>
      <c r="I155" s="49">
        <v>-0.612918205835921</v>
      </c>
      <c r="J155" s="49">
        <v>7.62</v>
      </c>
      <c r="K155" s="52">
        <v>-0.497351258631465</v>
      </c>
      <c r="L155" s="52">
        <v>0</v>
      </c>
      <c r="M155" s="49">
        <v>-0.834641567135534</v>
      </c>
      <c r="N155" s="49">
        <v>21.83</v>
      </c>
      <c r="O155" s="52">
        <v>-0.442052500251773</v>
      </c>
      <c r="P155" s="52">
        <v>0</v>
      </c>
      <c r="Q155" s="49">
        <v>-0.521115618437831</v>
      </c>
      <c r="R155" s="49">
        <v>3.26</v>
      </c>
      <c r="S155" s="49">
        <v>-0.537831808130033</v>
      </c>
      <c r="T155" s="49">
        <v>7.22</v>
      </c>
      <c r="U155" s="49">
        <v>-0.605931909264577</v>
      </c>
      <c r="V155" s="49">
        <v>4.01</v>
      </c>
      <c r="W155" s="23">
        <v>-1.50015740792842</v>
      </c>
      <c r="X155" s="23"/>
      <c r="Y155" s="49"/>
      <c r="Z155" s="49">
        <v>7.88</v>
      </c>
      <c r="AA155" s="49">
        <v>-1.05126768524303</v>
      </c>
      <c r="AB155" s="49">
        <v>4.99</v>
      </c>
      <c r="AC155" s="23">
        <v>-0.451051172434607</v>
      </c>
      <c r="AD155" s="23"/>
      <c r="AE155" s="49"/>
      <c r="AF155" s="49">
        <v>432.91</v>
      </c>
      <c r="AG155" s="49">
        <v>1.31477450592953</v>
      </c>
      <c r="AH155" s="54">
        <v>71.65</v>
      </c>
      <c r="AI155" s="23">
        <v>-0.0888987670343663</v>
      </c>
      <c r="AJ155" s="24">
        <v>44</v>
      </c>
      <c r="AK155" s="29">
        <v>1</v>
      </c>
      <c r="AL155" s="29">
        <v>5</v>
      </c>
      <c r="AM155" s="29">
        <v>1</v>
      </c>
      <c r="AN155" s="30"/>
      <c r="AO155" s="29">
        <v>3</v>
      </c>
      <c r="AP155" s="35"/>
      <c r="AQ155" s="35"/>
      <c r="AR155" s="35"/>
      <c r="AS155" s="35"/>
      <c r="AT155" s="35"/>
      <c r="AU155" s="35"/>
      <c r="AV155" s="35"/>
      <c r="AW155" s="35"/>
      <c r="AX155" s="35"/>
      <c r="AY155" s="35"/>
      <c r="AZ155" s="35"/>
      <c r="BA155" s="29">
        <v>5</v>
      </c>
      <c r="BB155" s="29">
        <v>1</v>
      </c>
      <c r="BC155" s="29">
        <v>1</v>
      </c>
      <c r="BD155" s="29">
        <v>1</v>
      </c>
      <c r="BE155" s="24">
        <v>426</v>
      </c>
      <c r="BF155" s="29">
        <f t="shared" si="2"/>
        <v>1</v>
      </c>
    </row>
    <row r="156" spans="1:58">
      <c r="A156" s="48" t="s">
        <v>244</v>
      </c>
      <c r="B156" s="48" t="s">
        <v>245</v>
      </c>
      <c r="C156" s="15" t="s">
        <v>192</v>
      </c>
      <c r="D156" s="49">
        <v>132.89</v>
      </c>
      <c r="E156" s="49">
        <v>2.59514424458045</v>
      </c>
      <c r="F156" s="49">
        <v>78.54</v>
      </c>
      <c r="G156" s="49">
        <v>-0.20279718864937</v>
      </c>
      <c r="H156" s="49">
        <v>14.31</v>
      </c>
      <c r="I156" s="49">
        <v>-0.849808885852657</v>
      </c>
      <c r="J156" s="49">
        <v>8.05</v>
      </c>
      <c r="K156" s="52">
        <v>-0.492468597605314</v>
      </c>
      <c r="L156" s="52">
        <v>0</v>
      </c>
      <c r="M156" s="49">
        <v>-0.834641567135534</v>
      </c>
      <c r="N156" s="49">
        <v>22.47</v>
      </c>
      <c r="O156" s="52">
        <v>-0.441286393004728</v>
      </c>
      <c r="P156" s="52">
        <v>0</v>
      </c>
      <c r="Q156" s="49">
        <v>-0.521115618437831</v>
      </c>
      <c r="R156" s="49">
        <v>2.59</v>
      </c>
      <c r="S156" s="49">
        <v>-0.55760264963551</v>
      </c>
      <c r="T156" s="49">
        <v>7.9</v>
      </c>
      <c r="U156" s="49">
        <v>-0.582778485518529</v>
      </c>
      <c r="V156" s="49">
        <v>4.18</v>
      </c>
      <c r="W156" s="23">
        <v>-1.44653642448656</v>
      </c>
      <c r="X156" s="23"/>
      <c r="Y156" s="49"/>
      <c r="Z156" s="49">
        <v>9.35</v>
      </c>
      <c r="AA156" s="49">
        <v>-0.830501471341996</v>
      </c>
      <c r="AB156" s="49">
        <v>4.07</v>
      </c>
      <c r="AC156" s="23">
        <v>-0.45763591332655</v>
      </c>
      <c r="AD156" s="23"/>
      <c r="AE156" s="49"/>
      <c r="AF156" s="49">
        <v>501.29</v>
      </c>
      <c r="AG156" s="49">
        <v>1.78068839067063</v>
      </c>
      <c r="AH156" s="54">
        <v>52.41</v>
      </c>
      <c r="AI156" s="23">
        <v>-0.144655565531617</v>
      </c>
      <c r="AJ156" s="24">
        <v>55</v>
      </c>
      <c r="AK156" s="29">
        <v>2</v>
      </c>
      <c r="AL156" s="29">
        <v>5</v>
      </c>
      <c r="AM156" s="29">
        <v>1</v>
      </c>
      <c r="AN156" s="30"/>
      <c r="AO156" s="29">
        <v>3</v>
      </c>
      <c r="AP156" s="35"/>
      <c r="AQ156" s="35"/>
      <c r="AR156" s="35"/>
      <c r="AS156" s="35"/>
      <c r="AT156" s="35"/>
      <c r="AU156" s="35"/>
      <c r="AV156" s="35"/>
      <c r="AW156" s="35"/>
      <c r="AX156" s="35"/>
      <c r="AY156" s="35"/>
      <c r="AZ156" s="35"/>
      <c r="BA156" s="29">
        <v>5</v>
      </c>
      <c r="BB156" s="29">
        <v>0</v>
      </c>
      <c r="BC156" s="29">
        <v>1</v>
      </c>
      <c r="BD156" s="29">
        <v>1</v>
      </c>
      <c r="BE156" s="24">
        <v>242</v>
      </c>
      <c r="BF156" s="29">
        <f t="shared" si="2"/>
        <v>1</v>
      </c>
    </row>
    <row r="157" spans="1:58">
      <c r="A157" s="48" t="s">
        <v>246</v>
      </c>
      <c r="B157" s="48" t="s">
        <v>247</v>
      </c>
      <c r="C157" s="15" t="s">
        <v>192</v>
      </c>
      <c r="D157" s="49">
        <v>52.23</v>
      </c>
      <c r="E157" s="49">
        <v>0.402205516443287</v>
      </c>
      <c r="F157" s="49">
        <v>62.49</v>
      </c>
      <c r="G157" s="49">
        <v>-0.817554654335616</v>
      </c>
      <c r="H157" s="49">
        <v>29.6</v>
      </c>
      <c r="I157" s="49">
        <v>-0.531526065338079</v>
      </c>
      <c r="J157" s="49">
        <v>11.31</v>
      </c>
      <c r="K157" s="52">
        <v>-0.455451214011702</v>
      </c>
      <c r="L157" s="52">
        <v>0</v>
      </c>
      <c r="M157" s="49">
        <v>-0.834641567135534</v>
      </c>
      <c r="N157" s="49">
        <v>50.06</v>
      </c>
      <c r="O157" s="49">
        <v>-0.408259988401627</v>
      </c>
      <c r="P157" s="49">
        <v>2.65</v>
      </c>
      <c r="Q157" s="49">
        <v>-0.440186611483914</v>
      </c>
      <c r="R157" s="49">
        <v>6.06</v>
      </c>
      <c r="S157" s="49">
        <v>-0.455207395868339</v>
      </c>
      <c r="T157" s="49">
        <v>14.42</v>
      </c>
      <c r="U157" s="49">
        <v>-0.360778010777015</v>
      </c>
      <c r="V157" s="49">
        <v>5.35</v>
      </c>
      <c r="W157" s="23">
        <v>-1.0774978913867</v>
      </c>
      <c r="X157" s="23"/>
      <c r="Y157" s="49"/>
      <c r="Z157" s="49">
        <v>13.3</v>
      </c>
      <c r="AA157" s="49">
        <v>-0.237286134669142</v>
      </c>
      <c r="AB157" s="49">
        <v>10.63</v>
      </c>
      <c r="AC157" s="23">
        <v>-0.41068384783617</v>
      </c>
      <c r="AD157" s="23"/>
      <c r="AE157" s="49"/>
      <c r="AF157" s="49">
        <v>329.69</v>
      </c>
      <c r="AG157" s="49">
        <v>0.611474839609324</v>
      </c>
      <c r="AH157" s="54">
        <v>106.05</v>
      </c>
      <c r="AI157" s="23">
        <v>0.010791142960718</v>
      </c>
      <c r="AJ157" s="24">
        <v>60</v>
      </c>
      <c r="AK157" s="29">
        <v>1</v>
      </c>
      <c r="AL157" s="29">
        <v>1</v>
      </c>
      <c r="AM157" s="29">
        <v>1</v>
      </c>
      <c r="AN157" s="30"/>
      <c r="AO157" s="29">
        <v>1</v>
      </c>
      <c r="AP157" s="35"/>
      <c r="AQ157" s="35"/>
      <c r="AR157" s="35"/>
      <c r="AS157" s="35"/>
      <c r="AT157" s="35"/>
      <c r="AU157" s="35"/>
      <c r="AV157" s="35"/>
      <c r="AW157" s="35"/>
      <c r="AX157" s="35"/>
      <c r="AY157" s="35"/>
      <c r="AZ157" s="35"/>
      <c r="BA157" s="29">
        <v>2</v>
      </c>
      <c r="BB157" s="29">
        <v>0</v>
      </c>
      <c r="BC157" s="29">
        <v>1</v>
      </c>
      <c r="BD157" s="29">
        <v>0</v>
      </c>
      <c r="BE157" s="24">
        <v>1807</v>
      </c>
      <c r="BF157" s="29">
        <f t="shared" si="2"/>
        <v>0</v>
      </c>
    </row>
    <row r="158" spans="1:58">
      <c r="A158" s="48" t="s">
        <v>248</v>
      </c>
      <c r="B158" s="48" t="s">
        <v>249</v>
      </c>
      <c r="C158" s="15" t="s">
        <v>192</v>
      </c>
      <c r="D158" s="49">
        <v>12.22</v>
      </c>
      <c r="E158" s="49">
        <v>-0.685563867548381</v>
      </c>
      <c r="F158" s="49">
        <v>75.2</v>
      </c>
      <c r="G158" s="49">
        <v>-0.330728025745449</v>
      </c>
      <c r="H158" s="49">
        <v>57.05</v>
      </c>
      <c r="I158" s="49">
        <v>0.0398842304843645</v>
      </c>
      <c r="J158" s="49">
        <v>8.85</v>
      </c>
      <c r="K158" s="49">
        <v>-0.483384577091544</v>
      </c>
      <c r="L158" s="49">
        <v>2.25</v>
      </c>
      <c r="M158" s="49">
        <v>-0.363211034675398</v>
      </c>
      <c r="N158" s="49">
        <v>30.2</v>
      </c>
      <c r="O158" s="49">
        <v>-0.432033253911507</v>
      </c>
      <c r="P158" s="49">
        <v>2.46</v>
      </c>
      <c r="Q158" s="49">
        <v>-0.44598906858627</v>
      </c>
      <c r="R158" s="49">
        <v>7.81</v>
      </c>
      <c r="S158" s="49">
        <v>-0.40356713820478</v>
      </c>
      <c r="T158" s="49">
        <v>9.16</v>
      </c>
      <c r="U158" s="49">
        <v>-0.539876553283206</v>
      </c>
      <c r="V158" s="49">
        <v>5.81</v>
      </c>
      <c r="W158" s="23">
        <v>-0.932405818544017</v>
      </c>
      <c r="X158" s="23"/>
      <c r="Y158" s="49"/>
      <c r="Z158" s="49">
        <v>13.99</v>
      </c>
      <c r="AA158" s="49">
        <v>-0.133661177123758</v>
      </c>
      <c r="AB158" s="49">
        <v>6.25</v>
      </c>
      <c r="AC158" s="23">
        <v>-0.442032940343467</v>
      </c>
      <c r="AD158" s="23"/>
      <c r="AE158" s="49"/>
      <c r="AF158" s="49">
        <v>205</v>
      </c>
      <c r="AG158" s="49">
        <v>-0.238112792569197</v>
      </c>
      <c r="AH158" s="54">
        <v>70.97</v>
      </c>
      <c r="AI158" s="23">
        <v>-0.0908693815342692</v>
      </c>
      <c r="AJ158" s="24">
        <v>56</v>
      </c>
      <c r="AK158" s="29">
        <v>1</v>
      </c>
      <c r="AL158" s="29">
        <v>1</v>
      </c>
      <c r="AM158" s="29">
        <v>3</v>
      </c>
      <c r="AN158" s="30"/>
      <c r="AO158" s="29">
        <v>1</v>
      </c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29">
        <v>3</v>
      </c>
      <c r="BB158" s="29">
        <v>0</v>
      </c>
      <c r="BC158" s="29">
        <v>0</v>
      </c>
      <c r="BD158" s="29">
        <v>0</v>
      </c>
      <c r="BE158" s="24">
        <v>1461</v>
      </c>
      <c r="BF158" s="29">
        <f t="shared" si="2"/>
        <v>0</v>
      </c>
    </row>
    <row r="159" spans="1:58">
      <c r="A159" s="48" t="s">
        <v>250</v>
      </c>
      <c r="B159" s="48" t="s">
        <v>251</v>
      </c>
      <c r="C159" s="15" t="s">
        <v>192</v>
      </c>
      <c r="D159" s="49">
        <v>217.19</v>
      </c>
      <c r="E159" s="49">
        <v>4.88704524609251</v>
      </c>
      <c r="F159" s="49">
        <v>32.53</v>
      </c>
      <c r="G159" s="49">
        <v>-1.96510192361661</v>
      </c>
      <c r="H159" s="49">
        <v>12.71</v>
      </c>
      <c r="I159" s="49">
        <v>-0.883115132603692</v>
      </c>
      <c r="J159" s="49">
        <v>73.44</v>
      </c>
      <c r="K159" s="52">
        <v>0.250036529138951</v>
      </c>
      <c r="L159" s="52">
        <v>0</v>
      </c>
      <c r="M159" s="49">
        <v>-0.834641567135534</v>
      </c>
      <c r="N159" s="49">
        <v>529.25</v>
      </c>
      <c r="O159" s="49">
        <v>0.165350842397944</v>
      </c>
      <c r="P159" s="49">
        <v>8.63</v>
      </c>
      <c r="Q159" s="49">
        <v>-0.257561908999225</v>
      </c>
      <c r="R159" s="49">
        <v>30.73</v>
      </c>
      <c r="S159" s="49">
        <v>0.272772693594518</v>
      </c>
      <c r="T159" s="49">
        <v>16.24</v>
      </c>
      <c r="U159" s="49">
        <v>-0.29880855310377</v>
      </c>
      <c r="V159" s="49">
        <v>6.81</v>
      </c>
      <c r="W159" s="23">
        <v>-0.616988268886016</v>
      </c>
      <c r="X159" s="23"/>
      <c r="Y159" s="49"/>
      <c r="Z159" s="49">
        <v>14.16</v>
      </c>
      <c r="AA159" s="49">
        <v>-0.108130390482141</v>
      </c>
      <c r="AB159" s="49">
        <v>70.73</v>
      </c>
      <c r="AC159" s="23">
        <v>0.0194715082571008</v>
      </c>
      <c r="AD159" s="23"/>
      <c r="AE159" s="49"/>
      <c r="AF159" s="49">
        <v>527.9</v>
      </c>
      <c r="AG159" s="49">
        <v>1.96199825427052</v>
      </c>
      <c r="AH159" s="54">
        <v>77.88</v>
      </c>
      <c r="AI159" s="23">
        <v>-0.0708444606602566</v>
      </c>
      <c r="AJ159" s="24">
        <v>74</v>
      </c>
      <c r="AK159" s="29">
        <v>2</v>
      </c>
      <c r="AL159" s="29">
        <v>1</v>
      </c>
      <c r="AM159" s="29">
        <v>2</v>
      </c>
      <c r="AN159" s="30"/>
      <c r="AO159" s="29">
        <v>1</v>
      </c>
      <c r="AP159" s="35"/>
      <c r="AQ159" s="35"/>
      <c r="AR159" s="35"/>
      <c r="AS159" s="35"/>
      <c r="AT159" s="35"/>
      <c r="AU159" s="35"/>
      <c r="AV159" s="35"/>
      <c r="AW159" s="35"/>
      <c r="AX159" s="35"/>
      <c r="AY159" s="35"/>
      <c r="AZ159" s="35"/>
      <c r="BA159" s="29">
        <v>5</v>
      </c>
      <c r="BB159" s="29">
        <v>1</v>
      </c>
      <c r="BC159" s="29">
        <v>1</v>
      </c>
      <c r="BD159" s="29">
        <v>1</v>
      </c>
      <c r="BE159" s="24">
        <v>424</v>
      </c>
      <c r="BF159" s="29">
        <f t="shared" si="2"/>
        <v>1</v>
      </c>
    </row>
    <row r="160" spans="1:58">
      <c r="A160" s="48" t="s">
        <v>252</v>
      </c>
      <c r="B160" s="48" t="s">
        <v>253</v>
      </c>
      <c r="C160" s="15" t="s">
        <v>192</v>
      </c>
      <c r="D160" s="49">
        <v>11.18</v>
      </c>
      <c r="E160" s="49">
        <v>-0.713838802798351</v>
      </c>
      <c r="F160" s="49">
        <v>49.24</v>
      </c>
      <c r="G160" s="49">
        <v>-1.32506471167784</v>
      </c>
      <c r="H160" s="49">
        <v>35.79</v>
      </c>
      <c r="I160" s="49">
        <v>-0.402672523220013</v>
      </c>
      <c r="J160" s="49">
        <v>7.14</v>
      </c>
      <c r="K160" s="52">
        <v>-0.502801670939727</v>
      </c>
      <c r="L160" s="52">
        <v>0</v>
      </c>
      <c r="M160" s="49">
        <v>-0.834641567135534</v>
      </c>
      <c r="N160" s="49">
        <v>18.61</v>
      </c>
      <c r="O160" s="52">
        <v>-0.445906977338471</v>
      </c>
      <c r="P160" s="52">
        <v>0</v>
      </c>
      <c r="Q160" s="49">
        <v>-0.521115618437831</v>
      </c>
      <c r="R160" s="49">
        <v>3.98</v>
      </c>
      <c r="S160" s="49">
        <v>-0.516585530691312</v>
      </c>
      <c r="T160" s="49">
        <v>7.56</v>
      </c>
      <c r="U160" s="49">
        <v>-0.594355197391553</v>
      </c>
      <c r="V160" s="49">
        <v>5.32</v>
      </c>
      <c r="W160" s="23">
        <v>-1.08696041787644</v>
      </c>
      <c r="X160" s="23"/>
      <c r="Y160" s="49"/>
      <c r="Z160" s="49">
        <v>7.88</v>
      </c>
      <c r="AA160" s="49">
        <v>-1.05126768524303</v>
      </c>
      <c r="AB160" s="49">
        <v>4.28</v>
      </c>
      <c r="AC160" s="23">
        <v>-0.456132874644694</v>
      </c>
      <c r="AD160" s="23"/>
      <c r="AE160" s="49"/>
      <c r="AF160" s="49">
        <v>142.59</v>
      </c>
      <c r="AG160" s="49">
        <v>-0.663349492579314</v>
      </c>
      <c r="AH160" s="54">
        <v>31.41</v>
      </c>
      <c r="AI160" s="23">
        <v>-0.205512778028616</v>
      </c>
      <c r="AJ160" s="24">
        <v>40</v>
      </c>
      <c r="AK160" s="29">
        <v>1</v>
      </c>
      <c r="AL160" s="29">
        <v>1</v>
      </c>
      <c r="AM160" s="29">
        <v>2</v>
      </c>
      <c r="AN160" s="30"/>
      <c r="AO160" s="29">
        <v>3</v>
      </c>
      <c r="AP160" s="35"/>
      <c r="AQ160" s="35"/>
      <c r="AR160" s="35"/>
      <c r="AS160" s="35"/>
      <c r="AT160" s="35"/>
      <c r="AU160" s="35"/>
      <c r="AV160" s="35"/>
      <c r="AW160" s="35"/>
      <c r="AX160" s="35"/>
      <c r="AY160" s="35"/>
      <c r="AZ160" s="35"/>
      <c r="BA160" s="29">
        <v>1</v>
      </c>
      <c r="BB160" s="29">
        <v>0</v>
      </c>
      <c r="BC160" s="29">
        <v>0</v>
      </c>
      <c r="BD160" s="29">
        <v>0</v>
      </c>
      <c r="BE160" s="24">
        <v>389</v>
      </c>
      <c r="BF160" s="29">
        <f t="shared" si="2"/>
        <v>0</v>
      </c>
    </row>
    <row r="161" spans="1:58">
      <c r="A161" s="48" t="s">
        <v>254</v>
      </c>
      <c r="B161" s="48" t="s">
        <v>255</v>
      </c>
      <c r="C161" s="15" t="s">
        <v>192</v>
      </c>
      <c r="D161" s="49">
        <v>15.88</v>
      </c>
      <c r="E161" s="49">
        <v>-0.586057845418675</v>
      </c>
      <c r="F161" s="49">
        <v>54.92</v>
      </c>
      <c r="G161" s="49">
        <v>-1.10750568332284</v>
      </c>
      <c r="H161" s="49">
        <v>17.86</v>
      </c>
      <c r="I161" s="49">
        <v>-0.775910650873798</v>
      </c>
      <c r="J161" s="49">
        <v>16.39</v>
      </c>
      <c r="K161" s="49">
        <v>-0.397767683749263</v>
      </c>
      <c r="L161" s="49">
        <v>1.85</v>
      </c>
      <c r="M161" s="49">
        <v>-0.447020907112756</v>
      </c>
      <c r="N161" s="49">
        <v>88.63</v>
      </c>
      <c r="O161" s="49">
        <v>-0.362090056341401</v>
      </c>
      <c r="P161" s="49">
        <v>4.54</v>
      </c>
      <c r="Q161" s="49">
        <v>-0.382467432939422</v>
      </c>
      <c r="R161" s="49">
        <v>7.51</v>
      </c>
      <c r="S161" s="49">
        <v>-0.412419753804247</v>
      </c>
      <c r="T161" s="49">
        <v>13.27</v>
      </c>
      <c r="U161" s="49">
        <v>-0.399934536229889</v>
      </c>
      <c r="V161" s="49">
        <v>6.21</v>
      </c>
      <c r="W161" s="23">
        <v>-0.806238798680816</v>
      </c>
      <c r="X161" s="23"/>
      <c r="Y161" s="49"/>
      <c r="Z161" s="49">
        <v>13.53</v>
      </c>
      <c r="AA161" s="49">
        <v>-0.202744482154014</v>
      </c>
      <c r="AB161" s="49">
        <v>13.42</v>
      </c>
      <c r="AC161" s="23">
        <v>-0.390714905348646</v>
      </c>
      <c r="AD161" s="23"/>
      <c r="AE161" s="49"/>
      <c r="AF161" s="49">
        <v>372.74</v>
      </c>
      <c r="AG161" s="49">
        <v>0.904800267192012</v>
      </c>
      <c r="AH161" s="54">
        <v>122.82</v>
      </c>
      <c r="AI161" s="23">
        <v>0.0593899740833215</v>
      </c>
      <c r="AJ161" s="24">
        <v>70</v>
      </c>
      <c r="AK161" s="29">
        <v>1</v>
      </c>
      <c r="AL161" s="29">
        <v>1</v>
      </c>
      <c r="AM161" s="29">
        <v>2</v>
      </c>
      <c r="AN161" s="30"/>
      <c r="AO161" s="29">
        <v>3</v>
      </c>
      <c r="AP161" s="35"/>
      <c r="AQ161" s="35"/>
      <c r="AR161" s="35"/>
      <c r="AS161" s="35"/>
      <c r="AT161" s="35"/>
      <c r="AU161" s="35"/>
      <c r="AV161" s="35"/>
      <c r="AW161" s="35"/>
      <c r="AX161" s="35"/>
      <c r="AY161" s="35"/>
      <c r="AZ161" s="35"/>
      <c r="BA161" s="29">
        <v>3</v>
      </c>
      <c r="BB161" s="29">
        <v>0</v>
      </c>
      <c r="BC161" s="29">
        <v>1</v>
      </c>
      <c r="BD161" s="29">
        <v>1</v>
      </c>
      <c r="BE161" s="24">
        <v>577</v>
      </c>
      <c r="BF161" s="29">
        <f t="shared" si="2"/>
        <v>1</v>
      </c>
    </row>
    <row r="162" spans="1:58">
      <c r="A162" s="48" t="s">
        <v>256</v>
      </c>
      <c r="B162" s="48" t="s">
        <v>257</v>
      </c>
      <c r="C162" s="15" t="s">
        <v>192</v>
      </c>
      <c r="D162" s="49">
        <v>102.16</v>
      </c>
      <c r="E162" s="49">
        <v>1.75967428281929</v>
      </c>
      <c r="F162" s="49">
        <v>92.98</v>
      </c>
      <c r="G162" s="49">
        <v>0.350293017239065</v>
      </c>
      <c r="H162" s="49">
        <v>24.98</v>
      </c>
      <c r="I162" s="49">
        <v>-0.627697852831693</v>
      </c>
      <c r="J162" s="49">
        <v>9.22</v>
      </c>
      <c r="K162" s="49">
        <v>-0.479183217603925</v>
      </c>
      <c r="L162" s="49">
        <v>2.07</v>
      </c>
      <c r="M162" s="49">
        <v>-0.400925477272209</v>
      </c>
      <c r="N162" s="49">
        <v>31.28</v>
      </c>
      <c r="O162" s="52">
        <v>-0.430740447932117</v>
      </c>
      <c r="P162" s="52">
        <v>0</v>
      </c>
      <c r="Q162" s="49">
        <v>-0.521115618437831</v>
      </c>
      <c r="R162" s="49">
        <v>6.92</v>
      </c>
      <c r="S162" s="49">
        <v>-0.429829897816533</v>
      </c>
      <c r="T162" s="49">
        <v>11.1</v>
      </c>
      <c r="U162" s="49">
        <v>-0.473821197301835</v>
      </c>
      <c r="V162" s="49">
        <v>5.86</v>
      </c>
      <c r="W162" s="23">
        <v>-0.916634941061117</v>
      </c>
      <c r="X162" s="23"/>
      <c r="Y162" s="49"/>
      <c r="Z162" s="49">
        <v>10.94</v>
      </c>
      <c r="AA162" s="49">
        <v>-0.591713525693936</v>
      </c>
      <c r="AB162" s="49">
        <v>7.15</v>
      </c>
      <c r="AC162" s="23">
        <v>-0.435591345992652</v>
      </c>
      <c r="AD162" s="23"/>
      <c r="AE162" s="49"/>
      <c r="AF162" s="49">
        <v>264.95</v>
      </c>
      <c r="AG162" s="49">
        <v>0.170362454436195</v>
      </c>
      <c r="AH162" s="54">
        <v>68.6</v>
      </c>
      <c r="AI162" s="23">
        <v>-0.0977375526589305</v>
      </c>
      <c r="AJ162" s="24">
        <v>53</v>
      </c>
      <c r="AK162" s="29">
        <v>1</v>
      </c>
      <c r="AL162" s="29">
        <v>6</v>
      </c>
      <c r="AM162" s="29">
        <v>1</v>
      </c>
      <c r="AN162" s="30"/>
      <c r="AO162" s="29">
        <v>1</v>
      </c>
      <c r="AP162" s="35"/>
      <c r="AQ162" s="35"/>
      <c r="AR162" s="35"/>
      <c r="AS162" s="35"/>
      <c r="AT162" s="35"/>
      <c r="AU162" s="35"/>
      <c r="AV162" s="35"/>
      <c r="AW162" s="35"/>
      <c r="AX162" s="35"/>
      <c r="AY162" s="35"/>
      <c r="AZ162" s="35"/>
      <c r="BA162" s="29">
        <v>5</v>
      </c>
      <c r="BB162" s="29">
        <v>1</v>
      </c>
      <c r="BC162" s="29">
        <v>1</v>
      </c>
      <c r="BD162" s="29">
        <v>0</v>
      </c>
      <c r="BE162" s="24">
        <v>1664</v>
      </c>
      <c r="BF162" s="29">
        <f t="shared" si="2"/>
        <v>0</v>
      </c>
    </row>
    <row r="163" spans="1:58">
      <c r="A163" s="48" t="s">
        <v>258</v>
      </c>
      <c r="B163" s="48" t="s">
        <v>259</v>
      </c>
      <c r="C163" s="15" t="s">
        <v>192</v>
      </c>
      <c r="D163" s="49">
        <v>32.85</v>
      </c>
      <c r="E163" s="49">
        <v>-0.124687026964824</v>
      </c>
      <c r="F163" s="49">
        <v>67.93</v>
      </c>
      <c r="G163" s="49">
        <v>-0.609188260981524</v>
      </c>
      <c r="H163" s="49">
        <v>26.94</v>
      </c>
      <c r="I163" s="49">
        <v>-0.586897700561675</v>
      </c>
      <c r="J163" s="49">
        <v>9.64</v>
      </c>
      <c r="K163" s="52">
        <v>-0.474414106834196</v>
      </c>
      <c r="L163" s="52">
        <v>0</v>
      </c>
      <c r="M163" s="49">
        <v>-0.834641567135534</v>
      </c>
      <c r="N163" s="49">
        <v>35.35</v>
      </c>
      <c r="O163" s="49">
        <v>-0.425868484657938</v>
      </c>
      <c r="P163" s="49">
        <v>2.5</v>
      </c>
      <c r="Q163" s="49">
        <v>-0.444767498669985</v>
      </c>
      <c r="R163" s="49">
        <v>4.14</v>
      </c>
      <c r="S163" s="49">
        <v>-0.511864135704929</v>
      </c>
      <c r="T163" s="49">
        <v>10.13</v>
      </c>
      <c r="U163" s="49">
        <v>-0.50684887529252</v>
      </c>
      <c r="V163" s="49">
        <v>4.4</v>
      </c>
      <c r="W163" s="23">
        <v>-1.3771445635618</v>
      </c>
      <c r="X163" s="23"/>
      <c r="Y163" s="49"/>
      <c r="Z163" s="49">
        <v>8.23</v>
      </c>
      <c r="AA163" s="49">
        <v>-0.998704300980881</v>
      </c>
      <c r="AB163" s="49">
        <v>14.17</v>
      </c>
      <c r="AC163" s="23">
        <v>-0.3853469100563</v>
      </c>
      <c r="AD163" s="23"/>
      <c r="AE163" s="49"/>
      <c r="AF163" s="49">
        <v>254.08</v>
      </c>
      <c r="AG163" s="49">
        <v>0.0962986356714146</v>
      </c>
      <c r="AH163" s="54">
        <v>100.52</v>
      </c>
      <c r="AI163" s="23">
        <v>-0.00523458966349182</v>
      </c>
      <c r="AJ163" s="24">
        <v>58</v>
      </c>
      <c r="AK163" s="29">
        <v>1</v>
      </c>
      <c r="AL163" s="29">
        <v>1</v>
      </c>
      <c r="AM163" s="29">
        <v>3</v>
      </c>
      <c r="AN163" s="30"/>
      <c r="AO163" s="29">
        <v>1</v>
      </c>
      <c r="AP163" s="35"/>
      <c r="AQ163" s="35"/>
      <c r="AR163" s="35"/>
      <c r="AS163" s="35"/>
      <c r="AT163" s="35"/>
      <c r="AU163" s="35"/>
      <c r="AV163" s="35"/>
      <c r="AW163" s="35"/>
      <c r="AX163" s="35"/>
      <c r="AY163" s="35"/>
      <c r="AZ163" s="35"/>
      <c r="BA163" s="29">
        <v>4</v>
      </c>
      <c r="BB163" s="29">
        <v>0</v>
      </c>
      <c r="BC163" s="29">
        <v>1</v>
      </c>
      <c r="BD163" s="29">
        <v>0</v>
      </c>
      <c r="BE163" s="24">
        <v>1712</v>
      </c>
      <c r="BF163" s="29">
        <f t="shared" si="2"/>
        <v>0</v>
      </c>
    </row>
    <row r="164" spans="1:58">
      <c r="A164" s="48" t="s">
        <v>260</v>
      </c>
      <c r="B164" s="48" t="s">
        <v>261</v>
      </c>
      <c r="C164" s="15" t="s">
        <v>192</v>
      </c>
      <c r="D164" s="49">
        <v>96.49</v>
      </c>
      <c r="E164" s="49">
        <v>1.60552151083147</v>
      </c>
      <c r="F164" s="49">
        <v>67.93</v>
      </c>
      <c r="G164" s="49">
        <v>-0.609188260981524</v>
      </c>
      <c r="H164" s="49">
        <v>28.71</v>
      </c>
      <c r="I164" s="49">
        <v>-0.550052665093342</v>
      </c>
      <c r="J164" s="49">
        <v>7.95</v>
      </c>
      <c r="K164" s="52">
        <v>-0.493604100169535</v>
      </c>
      <c r="L164" s="52">
        <v>0</v>
      </c>
      <c r="M164" s="49">
        <v>-0.834641567135534</v>
      </c>
      <c r="N164" s="49">
        <v>23.76</v>
      </c>
      <c r="O164" s="49">
        <v>-0.439742208084902</v>
      </c>
      <c r="P164" s="49">
        <v>2.29</v>
      </c>
      <c r="Q164" s="49">
        <v>-0.451180740730484</v>
      </c>
      <c r="R164" s="49">
        <v>6.67</v>
      </c>
      <c r="S164" s="49">
        <v>-0.437207077482756</v>
      </c>
      <c r="T164" s="49">
        <v>9.39</v>
      </c>
      <c r="U164" s="49">
        <v>-0.532045248192631</v>
      </c>
      <c r="V164" s="49">
        <v>4.77</v>
      </c>
      <c r="W164" s="23">
        <v>-1.26044007018834</v>
      </c>
      <c r="X164" s="23"/>
      <c r="Y164" s="49"/>
      <c r="Z164" s="49">
        <v>13.65</v>
      </c>
      <c r="AA164" s="49">
        <v>-0.184722750406991</v>
      </c>
      <c r="AB164" s="49">
        <v>4.85</v>
      </c>
      <c r="AC164" s="23">
        <v>-0.452053198222511</v>
      </c>
      <c r="AD164" s="23"/>
      <c r="AE164" s="49"/>
      <c r="AF164" s="49">
        <v>191.62</v>
      </c>
      <c r="AG164" s="49">
        <v>-0.329278744277823</v>
      </c>
      <c r="AH164" s="54">
        <v>85.05</v>
      </c>
      <c r="AI164" s="23">
        <v>-0.0500660695362812</v>
      </c>
      <c r="AJ164" s="24">
        <v>68</v>
      </c>
      <c r="AK164" s="29">
        <v>1</v>
      </c>
      <c r="AL164" s="29">
        <v>1</v>
      </c>
      <c r="AM164" s="29">
        <v>2</v>
      </c>
      <c r="AN164" s="30"/>
      <c r="AO164" s="29">
        <v>3</v>
      </c>
      <c r="AP164" s="35"/>
      <c r="AQ164" s="35"/>
      <c r="AR164" s="35"/>
      <c r="AS164" s="35"/>
      <c r="AT164" s="35"/>
      <c r="AU164" s="35"/>
      <c r="AV164" s="35"/>
      <c r="AW164" s="35"/>
      <c r="AX164" s="35"/>
      <c r="AY164" s="35"/>
      <c r="AZ164" s="35"/>
      <c r="BA164" s="29">
        <v>2</v>
      </c>
      <c r="BB164" s="29">
        <v>0</v>
      </c>
      <c r="BC164" s="29">
        <v>0</v>
      </c>
      <c r="BD164" s="29">
        <v>0</v>
      </c>
      <c r="BE164" s="24">
        <v>1623</v>
      </c>
      <c r="BF164" s="29">
        <f t="shared" si="2"/>
        <v>0</v>
      </c>
    </row>
    <row r="165" spans="1:58">
      <c r="A165" s="48" t="s">
        <v>262</v>
      </c>
      <c r="B165" s="48" t="s">
        <v>263</v>
      </c>
      <c r="C165" s="15" t="s">
        <v>192</v>
      </c>
      <c r="D165" s="49">
        <v>29.12</v>
      </c>
      <c r="E165" s="49">
        <v>-0.226096169736354</v>
      </c>
      <c r="F165" s="49">
        <v>33.64</v>
      </c>
      <c r="G165" s="49">
        <v>-1.92258598673737</v>
      </c>
      <c r="H165" s="49">
        <v>27.11</v>
      </c>
      <c r="I165" s="49">
        <v>-0.583358911844377</v>
      </c>
      <c r="J165" s="49">
        <v>5.66</v>
      </c>
      <c r="K165" s="52">
        <v>-0.519607108890201</v>
      </c>
      <c r="L165" s="52">
        <v>0</v>
      </c>
      <c r="M165" s="49">
        <v>-0.834641567135534</v>
      </c>
      <c r="N165" s="49">
        <v>42.41</v>
      </c>
      <c r="O165" s="52">
        <v>-0.417417364088967</v>
      </c>
      <c r="P165" s="52">
        <v>0</v>
      </c>
      <c r="Q165" s="49">
        <v>-0.521115618437831</v>
      </c>
      <c r="R165" s="49">
        <v>4.8</v>
      </c>
      <c r="S165" s="49">
        <v>-0.492388381386101</v>
      </c>
      <c r="T165" s="49">
        <v>8.13</v>
      </c>
      <c r="U165" s="49">
        <v>-0.574947180427954</v>
      </c>
      <c r="V165" s="49">
        <v>3.02</v>
      </c>
      <c r="W165" s="23">
        <v>-1.81242078208984</v>
      </c>
      <c r="X165" s="23"/>
      <c r="Y165" s="49"/>
      <c r="Z165" s="49">
        <v>6.92</v>
      </c>
      <c r="AA165" s="49">
        <v>-1.19544153921922</v>
      </c>
      <c r="AB165" s="49">
        <v>3.57</v>
      </c>
      <c r="AC165" s="23">
        <v>-0.461214576854781</v>
      </c>
      <c r="AD165" s="23"/>
      <c r="AE165" s="49"/>
      <c r="AF165" s="49">
        <v>139.64</v>
      </c>
      <c r="AG165" s="49">
        <v>-0.683449608987419</v>
      </c>
      <c r="AH165" s="54">
        <v>32.15</v>
      </c>
      <c r="AI165" s="23">
        <v>-0.203368285778722</v>
      </c>
      <c r="AJ165" s="24">
        <v>29</v>
      </c>
      <c r="AK165" s="29">
        <v>1</v>
      </c>
      <c r="AL165" s="29">
        <v>6</v>
      </c>
      <c r="AM165" s="29">
        <v>1</v>
      </c>
      <c r="AN165" s="30"/>
      <c r="AO165" s="29">
        <v>1</v>
      </c>
      <c r="AP165" s="35"/>
      <c r="AQ165" s="35"/>
      <c r="AR165" s="35"/>
      <c r="AS165" s="35"/>
      <c r="AT165" s="35"/>
      <c r="AU165" s="35"/>
      <c r="AV165" s="35"/>
      <c r="AW165" s="35"/>
      <c r="AX165" s="35"/>
      <c r="AY165" s="35"/>
      <c r="AZ165" s="35"/>
      <c r="BA165" s="29">
        <v>3</v>
      </c>
      <c r="BB165" s="29">
        <v>0</v>
      </c>
      <c r="BC165" s="29">
        <v>1</v>
      </c>
      <c r="BD165" s="29">
        <v>0</v>
      </c>
      <c r="BE165" s="24">
        <v>1697</v>
      </c>
      <c r="BF165" s="29">
        <f t="shared" si="2"/>
        <v>0</v>
      </c>
    </row>
    <row r="166" spans="1:58">
      <c r="A166" s="48" t="s">
        <v>264</v>
      </c>
      <c r="B166" s="48" t="s">
        <v>265</v>
      </c>
      <c r="C166" s="15" t="s">
        <v>192</v>
      </c>
      <c r="D166" s="49">
        <v>15.85</v>
      </c>
      <c r="E166" s="49">
        <v>-0.586873468550886</v>
      </c>
      <c r="F166" s="49">
        <v>62.99</v>
      </c>
      <c r="G166" s="49">
        <v>-0.798403331417042</v>
      </c>
      <c r="H166" s="49">
        <v>58.79</v>
      </c>
      <c r="I166" s="49">
        <v>0.076104773826115</v>
      </c>
      <c r="J166" s="49">
        <v>10.37</v>
      </c>
      <c r="K166" s="52">
        <v>-0.466124938115381</v>
      </c>
      <c r="L166" s="52">
        <v>0</v>
      </c>
      <c r="M166" s="49">
        <v>-0.834641567135534</v>
      </c>
      <c r="N166" s="49">
        <v>31.71</v>
      </c>
      <c r="O166" s="52">
        <v>-0.430225719625509</v>
      </c>
      <c r="P166" s="52">
        <v>0</v>
      </c>
      <c r="Q166" s="49">
        <v>-0.521115618437831</v>
      </c>
      <c r="R166" s="49">
        <v>4.88</v>
      </c>
      <c r="S166" s="49">
        <v>-0.49002768389291</v>
      </c>
      <c r="T166" s="49">
        <v>9.45</v>
      </c>
      <c r="U166" s="49">
        <v>-0.530002299038568</v>
      </c>
      <c r="V166" s="49">
        <v>5.32</v>
      </c>
      <c r="W166" s="23">
        <v>-1.08696041787644</v>
      </c>
      <c r="X166" s="23"/>
      <c r="Y166" s="49"/>
      <c r="Z166" s="49">
        <v>14.54</v>
      </c>
      <c r="AA166" s="49">
        <v>-0.0510615732832338</v>
      </c>
      <c r="AB166" s="49">
        <v>8.05</v>
      </c>
      <c r="AC166" s="23">
        <v>-0.429149751641838</v>
      </c>
      <c r="AD166" s="23"/>
      <c r="AE166" s="49"/>
      <c r="AF166" s="49">
        <v>155.03</v>
      </c>
      <c r="AG166" s="49">
        <v>-0.578588323726151</v>
      </c>
      <c r="AH166" s="54">
        <v>89.35</v>
      </c>
      <c r="AI166" s="23">
        <v>-0.0376048307868956</v>
      </c>
      <c r="AJ166" s="24">
        <v>64</v>
      </c>
      <c r="AK166" s="29">
        <v>2</v>
      </c>
      <c r="AL166" s="29">
        <v>1</v>
      </c>
      <c r="AM166" s="29">
        <v>2</v>
      </c>
      <c r="AN166" s="30"/>
      <c r="AO166" s="29">
        <v>1</v>
      </c>
      <c r="AP166" s="35"/>
      <c r="AQ166" s="35"/>
      <c r="AR166" s="35"/>
      <c r="AS166" s="35"/>
      <c r="AT166" s="35"/>
      <c r="AU166" s="35"/>
      <c r="AV166" s="35"/>
      <c r="AW166" s="35"/>
      <c r="AX166" s="35"/>
      <c r="AY166" s="35"/>
      <c r="AZ166" s="35"/>
      <c r="BA166" s="29">
        <v>1</v>
      </c>
      <c r="BB166" s="29">
        <v>0</v>
      </c>
      <c r="BC166" s="29">
        <v>0</v>
      </c>
      <c r="BD166" s="29">
        <v>0</v>
      </c>
      <c r="BE166" s="24">
        <v>1476</v>
      </c>
      <c r="BF166" s="29">
        <f t="shared" si="2"/>
        <v>0</v>
      </c>
    </row>
    <row r="167" spans="1:58">
      <c r="A167" s="48" t="s">
        <v>266</v>
      </c>
      <c r="B167" s="48" t="s">
        <v>267</v>
      </c>
      <c r="C167" s="15" t="s">
        <v>192</v>
      </c>
      <c r="D167" s="49">
        <v>12.37</v>
      </c>
      <c r="E167" s="49">
        <v>-0.681485751887327</v>
      </c>
      <c r="F167" s="49">
        <v>51.32</v>
      </c>
      <c r="G167" s="49">
        <v>-1.24539520833657</v>
      </c>
      <c r="H167" s="49">
        <v>56.35</v>
      </c>
      <c r="I167" s="49">
        <v>0.0253127475307867</v>
      </c>
      <c r="J167" s="49">
        <v>9.22</v>
      </c>
      <c r="K167" s="49">
        <v>-0.479183217603925</v>
      </c>
      <c r="L167" s="49">
        <v>1.85</v>
      </c>
      <c r="M167" s="49">
        <v>-0.447020907112756</v>
      </c>
      <c r="N167" s="49">
        <v>28.7</v>
      </c>
      <c r="O167" s="52">
        <v>-0.43382881777177</v>
      </c>
      <c r="P167" s="52">
        <v>0</v>
      </c>
      <c r="Q167" s="49">
        <v>-0.521115618437831</v>
      </c>
      <c r="R167" s="49">
        <v>5.86</v>
      </c>
      <c r="S167" s="49">
        <v>-0.461109139601317</v>
      </c>
      <c r="T167" s="49">
        <v>14.3</v>
      </c>
      <c r="U167" s="49">
        <v>-0.364863909085141</v>
      </c>
      <c r="V167" s="49">
        <v>6.27</v>
      </c>
      <c r="W167" s="23">
        <v>-0.787313745701336</v>
      </c>
      <c r="X167" s="23"/>
      <c r="Y167" s="49"/>
      <c r="Z167" s="49">
        <v>8.05</v>
      </c>
      <c r="AA167" s="49">
        <v>-1.02573689860142</v>
      </c>
      <c r="AB167" s="49">
        <v>5.34</v>
      </c>
      <c r="AC167" s="23">
        <v>-0.448546107964846</v>
      </c>
      <c r="AD167" s="23"/>
      <c r="AE167" s="49"/>
      <c r="AF167" s="49">
        <v>217.58</v>
      </c>
      <c r="AG167" s="49">
        <v>-0.152397719886497</v>
      </c>
      <c r="AH167" s="54">
        <v>89.35</v>
      </c>
      <c r="AI167" s="23">
        <v>-0.0376048307868956</v>
      </c>
      <c r="AJ167" s="24">
        <v>54</v>
      </c>
      <c r="AK167" s="29">
        <v>2</v>
      </c>
      <c r="AL167" s="29">
        <v>1</v>
      </c>
      <c r="AM167" s="29">
        <v>2</v>
      </c>
      <c r="AN167" s="30"/>
      <c r="AO167" s="29">
        <v>3</v>
      </c>
      <c r="AP167" s="35"/>
      <c r="AQ167" s="35"/>
      <c r="AR167" s="35"/>
      <c r="AS167" s="35"/>
      <c r="AT167" s="35"/>
      <c r="AU167" s="35"/>
      <c r="AV167" s="35"/>
      <c r="AW167" s="35"/>
      <c r="AX167" s="35"/>
      <c r="AY167" s="35"/>
      <c r="AZ167" s="35"/>
      <c r="BA167" s="29">
        <v>3</v>
      </c>
      <c r="BB167" s="29">
        <v>0</v>
      </c>
      <c r="BC167" s="29">
        <v>0</v>
      </c>
      <c r="BD167" s="29">
        <v>0</v>
      </c>
      <c r="BE167" s="24">
        <v>1460</v>
      </c>
      <c r="BF167" s="29">
        <f t="shared" si="2"/>
        <v>0</v>
      </c>
    </row>
    <row r="168" spans="1:58">
      <c r="A168" s="48" t="s">
        <v>268</v>
      </c>
      <c r="B168" s="48" t="s">
        <v>269</v>
      </c>
      <c r="C168" s="15" t="s">
        <v>192</v>
      </c>
      <c r="D168" s="49">
        <v>6.55</v>
      </c>
      <c r="E168" s="49">
        <v>-0.839716639536203</v>
      </c>
      <c r="F168" s="49">
        <v>31.97</v>
      </c>
      <c r="G168" s="49">
        <v>-1.98655140528541</v>
      </c>
      <c r="H168" s="49">
        <v>11.82</v>
      </c>
      <c r="I168" s="49">
        <v>-0.901641732358955</v>
      </c>
      <c r="J168" s="49">
        <v>5.16</v>
      </c>
      <c r="K168" s="52">
        <v>-0.525284621711308</v>
      </c>
      <c r="L168" s="52">
        <v>0</v>
      </c>
      <c r="M168" s="49">
        <v>-0.834641567135534</v>
      </c>
      <c r="N168" s="49">
        <v>13.29</v>
      </c>
      <c r="O168" s="49">
        <v>-0.452275243829537</v>
      </c>
      <c r="P168" s="49">
        <v>2.09</v>
      </c>
      <c r="Q168" s="52">
        <v>-0.457288590311912</v>
      </c>
      <c r="R168" s="52">
        <v>0</v>
      </c>
      <c r="S168" s="49">
        <v>-0.634030230977577</v>
      </c>
      <c r="T168" s="49">
        <v>6.93</v>
      </c>
      <c r="U168" s="49">
        <v>-0.615806163509214</v>
      </c>
      <c r="V168" s="49">
        <v>2.96</v>
      </c>
      <c r="W168" s="23">
        <v>-1.83134583506932</v>
      </c>
      <c r="X168" s="23"/>
      <c r="Y168" s="49"/>
      <c r="Z168" s="49">
        <v>12.66</v>
      </c>
      <c r="AA168" s="49">
        <v>-0.333402037319934</v>
      </c>
      <c r="AB168" s="49">
        <v>2.92</v>
      </c>
      <c r="AC168" s="23">
        <v>-0.46586683944148</v>
      </c>
      <c r="AD168" s="23"/>
      <c r="AE168" s="49"/>
      <c r="AF168" s="49">
        <v>138.17</v>
      </c>
      <c r="AG168" s="49">
        <v>-0.693465599197559</v>
      </c>
      <c r="AH168" s="54">
        <v>59.36</v>
      </c>
      <c r="AI168" s="23">
        <v>-0.12451472615761</v>
      </c>
      <c r="AJ168" s="24">
        <v>68</v>
      </c>
      <c r="AK168" s="29">
        <v>1</v>
      </c>
      <c r="AL168" s="29">
        <v>1</v>
      </c>
      <c r="AM168" s="29">
        <v>1</v>
      </c>
      <c r="AN168" s="30"/>
      <c r="AO168" s="29">
        <v>3</v>
      </c>
      <c r="AP168" s="35"/>
      <c r="AQ168" s="35"/>
      <c r="AR168" s="35"/>
      <c r="AS168" s="35"/>
      <c r="AT168" s="35"/>
      <c r="AU168" s="35"/>
      <c r="AV168" s="35"/>
      <c r="AW168" s="35"/>
      <c r="AX168" s="35"/>
      <c r="AY168" s="35"/>
      <c r="AZ168" s="35"/>
      <c r="BA168" s="29">
        <v>1</v>
      </c>
      <c r="BB168" s="29">
        <v>1</v>
      </c>
      <c r="BC168" s="29">
        <v>1</v>
      </c>
      <c r="BD168" s="29">
        <v>0</v>
      </c>
      <c r="BE168" s="24">
        <v>1721</v>
      </c>
      <c r="BF168" s="29">
        <f t="shared" si="2"/>
        <v>0</v>
      </c>
    </row>
    <row r="169" spans="1:58">
      <c r="A169" s="48" t="s">
        <v>270</v>
      </c>
      <c r="B169" s="48" t="s">
        <v>271</v>
      </c>
      <c r="C169" s="15" t="s">
        <v>192</v>
      </c>
      <c r="D169" s="49">
        <v>10</v>
      </c>
      <c r="E169" s="49">
        <v>-0.745919979331972</v>
      </c>
      <c r="F169" s="49">
        <v>52.87</v>
      </c>
      <c r="G169" s="49">
        <v>-1.18602610728899</v>
      </c>
      <c r="H169" s="49">
        <v>61.24</v>
      </c>
      <c r="I169" s="49">
        <v>0.127104964163637</v>
      </c>
      <c r="J169" s="49">
        <v>6.65</v>
      </c>
      <c r="K169" s="52">
        <v>-0.508365633504411</v>
      </c>
      <c r="L169" s="52">
        <v>0</v>
      </c>
      <c r="M169" s="49">
        <v>-0.834641567135534</v>
      </c>
      <c r="N169" s="49">
        <v>40.91</v>
      </c>
      <c r="O169" s="49">
        <v>-0.41921292794923</v>
      </c>
      <c r="P169" s="49">
        <v>3.03</v>
      </c>
      <c r="Q169" s="49">
        <v>-0.428581697279201</v>
      </c>
      <c r="R169" s="49">
        <v>4.8</v>
      </c>
      <c r="S169" s="49">
        <v>-0.492388381386101</v>
      </c>
      <c r="T169" s="49">
        <v>8.65</v>
      </c>
      <c r="U169" s="49">
        <v>-0.557241621092741</v>
      </c>
      <c r="V169" s="49">
        <v>4.1</v>
      </c>
      <c r="W169" s="23">
        <v>-1.4717698284592</v>
      </c>
      <c r="X169" s="23"/>
      <c r="Y169" s="49"/>
      <c r="Z169" s="49">
        <v>11.54</v>
      </c>
      <c r="AA169" s="49">
        <v>-0.501604866958819</v>
      </c>
      <c r="AB169" s="49">
        <v>3.71</v>
      </c>
      <c r="AC169" s="23">
        <v>-0.460212551066876</v>
      </c>
      <c r="AD169" s="23"/>
      <c r="AE169" s="49"/>
      <c r="AF169" s="49">
        <v>156.12</v>
      </c>
      <c r="AG169" s="49">
        <v>-0.571161501053326</v>
      </c>
      <c r="AH169" s="54">
        <v>123.14</v>
      </c>
      <c r="AI169" s="23">
        <v>0.0603173220832758</v>
      </c>
      <c r="AJ169" s="24">
        <v>67</v>
      </c>
      <c r="AK169" s="29">
        <v>1</v>
      </c>
      <c r="AL169" s="29">
        <v>1</v>
      </c>
      <c r="AM169" s="29">
        <v>1</v>
      </c>
      <c r="AN169" s="30"/>
      <c r="AO169" s="29">
        <v>1</v>
      </c>
      <c r="AP169" s="35"/>
      <c r="AQ169" s="35"/>
      <c r="AR169" s="35"/>
      <c r="AS169" s="35"/>
      <c r="AT169" s="35"/>
      <c r="AU169" s="35"/>
      <c r="AV169" s="35"/>
      <c r="AW169" s="35"/>
      <c r="AX169" s="35"/>
      <c r="AY169" s="35"/>
      <c r="AZ169" s="35"/>
      <c r="BA169" s="29">
        <v>2</v>
      </c>
      <c r="BB169" s="29">
        <v>0</v>
      </c>
      <c r="BC169" s="29">
        <v>1</v>
      </c>
      <c r="BD169" s="29">
        <v>1</v>
      </c>
      <c r="BE169" s="24">
        <v>184</v>
      </c>
      <c r="BF169" s="29">
        <f t="shared" si="2"/>
        <v>1</v>
      </c>
    </row>
    <row r="170" spans="1:58">
      <c r="A170" s="48" t="s">
        <v>272</v>
      </c>
      <c r="B170" s="48" t="s">
        <v>273</v>
      </c>
      <c r="C170" s="15" t="s">
        <v>192</v>
      </c>
      <c r="D170" s="49">
        <v>24.16</v>
      </c>
      <c r="E170" s="49">
        <v>-0.360945860928523</v>
      </c>
      <c r="F170" s="49">
        <v>77.11</v>
      </c>
      <c r="G170" s="49">
        <v>-0.257569972196494</v>
      </c>
      <c r="H170" s="49">
        <v>33.85</v>
      </c>
      <c r="I170" s="49">
        <v>-0.443056347405643</v>
      </c>
      <c r="J170" s="49">
        <v>63.54</v>
      </c>
      <c r="K170" s="49">
        <v>0.137621775281049</v>
      </c>
      <c r="L170" s="49">
        <v>3.02</v>
      </c>
      <c r="M170" s="49">
        <v>-0.201877030233485</v>
      </c>
      <c r="N170" s="49">
        <v>409.46</v>
      </c>
      <c r="O170" s="49">
        <v>0.0219571125173526</v>
      </c>
      <c r="P170" s="49">
        <v>20.25</v>
      </c>
      <c r="Q170" s="49">
        <v>0.0973041516817249</v>
      </c>
      <c r="R170" s="49">
        <v>30.95</v>
      </c>
      <c r="S170" s="49">
        <v>0.279264611700794</v>
      </c>
      <c r="T170" s="49">
        <v>24.23</v>
      </c>
      <c r="U170" s="49">
        <v>-0.0267558240877118</v>
      </c>
      <c r="V170" s="49">
        <v>6.72</v>
      </c>
      <c r="W170" s="23">
        <v>-0.645375848355236</v>
      </c>
      <c r="X170" s="23"/>
      <c r="Y170" s="49"/>
      <c r="Z170" s="49">
        <v>6.78</v>
      </c>
      <c r="AA170" s="49">
        <v>-1.21646689292408</v>
      </c>
      <c r="AB170" s="49">
        <v>87.1</v>
      </c>
      <c r="AC170" s="23">
        <v>0.136636952171358</v>
      </c>
      <c r="AD170" s="23"/>
      <c r="AE170" s="49"/>
      <c r="AF170" s="49">
        <v>130.01</v>
      </c>
      <c r="AG170" s="49">
        <v>-0.749064565262013</v>
      </c>
      <c r="AH170" s="54">
        <v>24.86</v>
      </c>
      <c r="AI170" s="23">
        <v>-0.22449443240268</v>
      </c>
      <c r="AJ170" s="24">
        <v>71</v>
      </c>
      <c r="AK170" s="29">
        <v>2</v>
      </c>
      <c r="AL170" s="29">
        <v>3</v>
      </c>
      <c r="AM170" s="29">
        <v>1</v>
      </c>
      <c r="AN170" s="30"/>
      <c r="AO170" s="29">
        <v>1</v>
      </c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35"/>
      <c r="BA170" s="29">
        <v>5</v>
      </c>
      <c r="BB170" s="29">
        <v>0</v>
      </c>
      <c r="BC170" s="29">
        <v>1</v>
      </c>
      <c r="BD170" s="29">
        <v>1</v>
      </c>
      <c r="BE170" s="24">
        <v>563</v>
      </c>
      <c r="BF170" s="29">
        <f t="shared" si="2"/>
        <v>1</v>
      </c>
    </row>
    <row r="171" spans="1:58">
      <c r="A171" s="48" t="s">
        <v>274</v>
      </c>
      <c r="B171" s="48" t="s">
        <v>275</v>
      </c>
      <c r="C171" s="15" t="s">
        <v>192</v>
      </c>
      <c r="D171" s="49">
        <v>13.09</v>
      </c>
      <c r="E171" s="49">
        <v>-0.66191079671427</v>
      </c>
      <c r="F171" s="49">
        <v>47.67</v>
      </c>
      <c r="G171" s="49">
        <v>-1.38519986564217</v>
      </c>
      <c r="H171" s="49">
        <v>21.07</v>
      </c>
      <c r="I171" s="49">
        <v>-0.709089993329534</v>
      </c>
      <c r="J171" s="49">
        <v>6.32</v>
      </c>
      <c r="K171" s="52">
        <v>-0.512112791966341</v>
      </c>
      <c r="L171" s="52">
        <v>0</v>
      </c>
      <c r="M171" s="49">
        <v>-0.834641567135534</v>
      </c>
      <c r="N171" s="49">
        <v>21.4</v>
      </c>
      <c r="O171" s="52">
        <v>-0.442567228558382</v>
      </c>
      <c r="P171" s="52">
        <v>0</v>
      </c>
      <c r="Q171" s="49">
        <v>-0.521115618437831</v>
      </c>
      <c r="R171" s="49">
        <v>2.95</v>
      </c>
      <c r="S171" s="49">
        <v>-0.546979510916149</v>
      </c>
      <c r="T171" s="49">
        <v>7.9</v>
      </c>
      <c r="U171" s="49">
        <v>-0.582778485518529</v>
      </c>
      <c r="V171" s="49">
        <v>4.29</v>
      </c>
      <c r="W171" s="23">
        <v>-1.41184049402418</v>
      </c>
      <c r="X171" s="23"/>
      <c r="Y171" s="49"/>
      <c r="Z171" s="49">
        <v>7.22</v>
      </c>
      <c r="AA171" s="49">
        <v>-1.15038720985166</v>
      </c>
      <c r="AB171" s="49">
        <v>4.85</v>
      </c>
      <c r="AC171" s="23">
        <v>-0.452053198222511</v>
      </c>
      <c r="AD171" s="23"/>
      <c r="AE171" s="49"/>
      <c r="AF171" s="49">
        <v>147.73</v>
      </c>
      <c r="AG171" s="49">
        <v>-0.628327594837734</v>
      </c>
      <c r="AH171" s="54">
        <v>50.48</v>
      </c>
      <c r="AI171" s="23">
        <v>-0.150248633156341</v>
      </c>
      <c r="AJ171" s="24">
        <v>72</v>
      </c>
      <c r="AK171" s="29">
        <v>1</v>
      </c>
      <c r="AL171" s="29">
        <v>1</v>
      </c>
      <c r="AM171" s="29">
        <v>1</v>
      </c>
      <c r="AN171" s="30"/>
      <c r="AO171" s="29">
        <v>1</v>
      </c>
      <c r="AP171" s="35"/>
      <c r="AQ171" s="35"/>
      <c r="AR171" s="35"/>
      <c r="AS171" s="35"/>
      <c r="AT171" s="35"/>
      <c r="AU171" s="35"/>
      <c r="AV171" s="35"/>
      <c r="AW171" s="35"/>
      <c r="AX171" s="35"/>
      <c r="AY171" s="35"/>
      <c r="AZ171" s="35"/>
      <c r="BA171" s="29">
        <v>2</v>
      </c>
      <c r="BB171" s="29">
        <v>0</v>
      </c>
      <c r="BC171" s="29">
        <v>0</v>
      </c>
      <c r="BD171" s="29">
        <v>0</v>
      </c>
      <c r="BE171" s="24">
        <v>1561</v>
      </c>
      <c r="BF171" s="29">
        <f t="shared" si="2"/>
        <v>0</v>
      </c>
    </row>
    <row r="172" spans="1:58">
      <c r="A172" s="48" t="s">
        <v>276</v>
      </c>
      <c r="B172" s="48" t="s">
        <v>277</v>
      </c>
      <c r="C172" s="15" t="s">
        <v>192</v>
      </c>
      <c r="D172" s="49">
        <v>133.79</v>
      </c>
      <c r="E172" s="49">
        <v>2.61961293854677</v>
      </c>
      <c r="F172" s="49">
        <v>112.21</v>
      </c>
      <c r="G172" s="49">
        <v>1.08685289668745</v>
      </c>
      <c r="H172" s="49">
        <v>98.65</v>
      </c>
      <c r="I172" s="49">
        <v>0.905846646011274</v>
      </c>
      <c r="J172" s="49">
        <v>11.92</v>
      </c>
      <c r="K172" s="49">
        <v>-0.448524648369952</v>
      </c>
      <c r="L172" s="49">
        <v>2.85</v>
      </c>
      <c r="M172" s="49">
        <v>-0.237496226019362</v>
      </c>
      <c r="N172" s="49">
        <v>34.92</v>
      </c>
      <c r="O172" s="49">
        <v>-0.426383212964546</v>
      </c>
      <c r="P172" s="49">
        <v>2.47</v>
      </c>
      <c r="Q172" s="49">
        <v>-0.445683676107199</v>
      </c>
      <c r="R172" s="49">
        <v>6.2</v>
      </c>
      <c r="S172" s="49">
        <v>-0.451076175255254</v>
      </c>
      <c r="T172" s="49">
        <v>14.19</v>
      </c>
      <c r="U172" s="49">
        <v>-0.36860931586759</v>
      </c>
      <c r="V172" s="49">
        <v>7.49</v>
      </c>
      <c r="W172" s="23">
        <v>-0.402504335118575</v>
      </c>
      <c r="X172" s="23"/>
      <c r="Y172" s="49"/>
      <c r="Z172" s="49">
        <v>11.92</v>
      </c>
      <c r="AA172" s="49">
        <v>-0.444536049759911</v>
      </c>
      <c r="AB172" s="49">
        <v>8.05</v>
      </c>
      <c r="AC172" s="23">
        <v>-0.429149751641838</v>
      </c>
      <c r="AD172" s="23"/>
      <c r="AE172" s="49"/>
      <c r="AF172" s="49">
        <v>231.44</v>
      </c>
      <c r="AG172" s="49">
        <v>-0.0579612407623149</v>
      </c>
      <c r="AH172" s="54">
        <v>42.86</v>
      </c>
      <c r="AI172" s="23">
        <v>-0.172331107405252</v>
      </c>
      <c r="AJ172" s="24">
        <v>48</v>
      </c>
      <c r="AK172" s="29">
        <v>1</v>
      </c>
      <c r="AL172" s="29">
        <v>1</v>
      </c>
      <c r="AM172" s="29">
        <v>3</v>
      </c>
      <c r="AN172" s="30"/>
      <c r="AO172" s="29">
        <v>3</v>
      </c>
      <c r="AP172" s="35"/>
      <c r="AQ172" s="35"/>
      <c r="AR172" s="35"/>
      <c r="AS172" s="35"/>
      <c r="AT172" s="35"/>
      <c r="AU172" s="35"/>
      <c r="AV172" s="35"/>
      <c r="AW172" s="35"/>
      <c r="AX172" s="35"/>
      <c r="AY172" s="35"/>
      <c r="AZ172" s="35"/>
      <c r="BA172" s="29">
        <v>3</v>
      </c>
      <c r="BB172" s="29">
        <v>0</v>
      </c>
      <c r="BC172" s="29">
        <v>0</v>
      </c>
      <c r="BD172" s="29">
        <v>0</v>
      </c>
      <c r="BE172" s="24">
        <v>1637</v>
      </c>
      <c r="BF172" s="29">
        <f t="shared" si="2"/>
        <v>0</v>
      </c>
    </row>
    <row r="173" spans="1:58">
      <c r="A173" s="48" t="s">
        <v>278</v>
      </c>
      <c r="B173" s="48" t="s">
        <v>279</v>
      </c>
      <c r="C173" s="15" t="s">
        <v>192</v>
      </c>
      <c r="D173" s="49">
        <v>34.06</v>
      </c>
      <c r="E173" s="49">
        <v>-0.0917902272989921</v>
      </c>
      <c r="F173" s="49">
        <v>89.76</v>
      </c>
      <c r="G173" s="49">
        <v>0.226958497643445</v>
      </c>
      <c r="H173" s="49">
        <v>149.41</v>
      </c>
      <c r="I173" s="49">
        <v>1.96248732418786</v>
      </c>
      <c r="J173" s="49">
        <v>70</v>
      </c>
      <c r="K173" s="49">
        <v>0.210975240929741</v>
      </c>
      <c r="L173" s="49">
        <v>4.08</v>
      </c>
      <c r="M173" s="49">
        <v>0.0202191317255125</v>
      </c>
      <c r="N173" s="49">
        <v>461.39</v>
      </c>
      <c r="O173" s="49">
        <v>0.0841195333596525</v>
      </c>
      <c r="P173" s="49">
        <v>20.63</v>
      </c>
      <c r="Q173" s="49">
        <v>0.108909065886438</v>
      </c>
      <c r="R173" s="49">
        <v>24.4</v>
      </c>
      <c r="S173" s="49">
        <v>0.0859825044457589</v>
      </c>
      <c r="T173" s="49">
        <v>41.55</v>
      </c>
      <c r="U173" s="49">
        <v>0.562975498385145</v>
      </c>
      <c r="V173" s="49">
        <v>9.16</v>
      </c>
      <c r="W173" s="23">
        <v>0.124242972810287</v>
      </c>
      <c r="X173" s="23"/>
      <c r="Y173" s="49"/>
      <c r="Z173" s="49">
        <v>14.79</v>
      </c>
      <c r="AA173" s="49">
        <v>-0.0135162988102683</v>
      </c>
      <c r="AB173" s="49">
        <v>58.35</v>
      </c>
      <c r="AC173" s="23">
        <v>-0.0691362007018792</v>
      </c>
      <c r="AD173" s="23"/>
      <c r="AE173" s="49"/>
      <c r="AF173" s="49">
        <v>74.71</v>
      </c>
      <c r="AG173" s="49">
        <v>-1.12585657792921</v>
      </c>
      <c r="AH173" s="54">
        <v>44.47</v>
      </c>
      <c r="AI173" s="23">
        <v>-0.167665387780482</v>
      </c>
      <c r="AJ173" s="24">
        <v>73</v>
      </c>
      <c r="AK173" s="29">
        <v>1</v>
      </c>
      <c r="AL173" s="29">
        <v>1</v>
      </c>
      <c r="AM173" s="29">
        <v>1</v>
      </c>
      <c r="AN173" s="30"/>
      <c r="AO173" s="29">
        <v>3</v>
      </c>
      <c r="AP173" s="35"/>
      <c r="AQ173" s="35"/>
      <c r="AR173" s="35"/>
      <c r="AS173" s="35"/>
      <c r="AT173" s="35"/>
      <c r="AU173" s="35"/>
      <c r="AV173" s="35"/>
      <c r="AW173" s="35"/>
      <c r="AX173" s="35"/>
      <c r="AY173" s="35"/>
      <c r="AZ173" s="35"/>
      <c r="BA173" s="29">
        <v>2</v>
      </c>
      <c r="BB173" s="29">
        <v>0</v>
      </c>
      <c r="BC173" s="29">
        <v>0</v>
      </c>
      <c r="BD173" s="29">
        <v>0</v>
      </c>
      <c r="BE173" s="24">
        <v>1675</v>
      </c>
      <c r="BF173" s="29">
        <f t="shared" si="2"/>
        <v>0</v>
      </c>
    </row>
    <row r="174" spans="1:58">
      <c r="A174" s="48" t="s">
        <v>280</v>
      </c>
      <c r="B174" s="48" t="s">
        <v>281</v>
      </c>
      <c r="C174" s="15" t="s">
        <v>192</v>
      </c>
      <c r="D174" s="49">
        <v>18.03</v>
      </c>
      <c r="E174" s="49">
        <v>-0.527604854276909</v>
      </c>
      <c r="F174" s="49">
        <v>54.92</v>
      </c>
      <c r="G174" s="49">
        <v>-1.10750568332284</v>
      </c>
      <c r="H174" s="49">
        <v>31.72</v>
      </c>
      <c r="I174" s="49">
        <v>-0.487395288392958</v>
      </c>
      <c r="J174" s="49">
        <v>7.84</v>
      </c>
      <c r="K174" s="49">
        <v>-0.494853152990178</v>
      </c>
      <c r="L174" s="49">
        <v>2.36</v>
      </c>
      <c r="M174" s="49">
        <v>-0.340163319755125</v>
      </c>
      <c r="N174" s="49">
        <v>21.83</v>
      </c>
      <c r="O174" s="52">
        <v>-0.442052500251773</v>
      </c>
      <c r="P174" s="52">
        <v>0</v>
      </c>
      <c r="Q174" s="49">
        <v>-0.521115618437831</v>
      </c>
      <c r="R174" s="49">
        <v>2.67</v>
      </c>
      <c r="S174" s="49">
        <v>-0.555241952142319</v>
      </c>
      <c r="T174" s="49">
        <v>10.31</v>
      </c>
      <c r="U174" s="49">
        <v>-0.500720027830331</v>
      </c>
      <c r="V174" s="49">
        <v>4.92</v>
      </c>
      <c r="W174" s="23">
        <v>-1.21312743773964</v>
      </c>
      <c r="X174" s="23"/>
      <c r="Y174" s="49"/>
      <c r="Z174" s="49">
        <v>7.81</v>
      </c>
      <c r="AA174" s="49">
        <v>-1.06178036209546</v>
      </c>
      <c r="AB174" s="49">
        <v>4.99</v>
      </c>
      <c r="AC174" s="23">
        <v>-0.451051172434607</v>
      </c>
      <c r="AD174" s="23"/>
      <c r="AE174" s="49"/>
      <c r="AF174" s="49">
        <v>142.59</v>
      </c>
      <c r="AG174" s="49">
        <v>-0.663349492579314</v>
      </c>
      <c r="AH174" s="54">
        <v>26.75</v>
      </c>
      <c r="AI174" s="23">
        <v>-0.21901728327795</v>
      </c>
      <c r="AJ174" s="24">
        <v>57</v>
      </c>
      <c r="AK174" s="29">
        <v>1</v>
      </c>
      <c r="AL174" s="29">
        <v>1</v>
      </c>
      <c r="AM174" s="29">
        <v>3</v>
      </c>
      <c r="AN174" s="30"/>
      <c r="AO174" s="29">
        <v>3</v>
      </c>
      <c r="AP174" s="35"/>
      <c r="AQ174" s="35"/>
      <c r="AR174" s="35"/>
      <c r="AS174" s="35"/>
      <c r="AT174" s="35"/>
      <c r="AU174" s="35"/>
      <c r="AV174" s="35"/>
      <c r="AW174" s="35"/>
      <c r="AX174" s="35"/>
      <c r="AY174" s="35"/>
      <c r="AZ174" s="35"/>
      <c r="BA174" s="29">
        <v>1</v>
      </c>
      <c r="BB174" s="29">
        <v>0</v>
      </c>
      <c r="BC174" s="29">
        <v>0</v>
      </c>
      <c r="BD174" s="29">
        <v>0</v>
      </c>
      <c r="BE174" s="24">
        <v>1661</v>
      </c>
      <c r="BF174" s="29">
        <f t="shared" si="2"/>
        <v>0</v>
      </c>
    </row>
    <row r="175" spans="1:58">
      <c r="A175" s="48" t="s">
        <v>282</v>
      </c>
      <c r="B175" s="48" t="s">
        <v>283</v>
      </c>
      <c r="C175" s="15" t="s">
        <v>192</v>
      </c>
      <c r="D175" s="49">
        <v>39.03</v>
      </c>
      <c r="E175" s="49">
        <v>0.0433313382705802</v>
      </c>
      <c r="F175" s="49">
        <v>67.44</v>
      </c>
      <c r="G175" s="49">
        <v>-0.627956557441728</v>
      </c>
      <c r="H175" s="49">
        <v>20.36</v>
      </c>
      <c r="I175" s="49">
        <v>-0.723869640325306</v>
      </c>
      <c r="J175" s="49">
        <v>9.01</v>
      </c>
      <c r="K175" s="52">
        <v>-0.48156777298879</v>
      </c>
      <c r="L175" s="52">
        <v>0</v>
      </c>
      <c r="M175" s="49">
        <v>-0.834641567135534</v>
      </c>
      <c r="N175" s="49">
        <v>21.4</v>
      </c>
      <c r="O175" s="52">
        <v>-0.442567228558382</v>
      </c>
      <c r="P175" s="52">
        <v>0</v>
      </c>
      <c r="Q175" s="49">
        <v>-0.521115618437831</v>
      </c>
      <c r="R175" s="49">
        <v>4.28</v>
      </c>
      <c r="S175" s="49">
        <v>-0.507732915091845</v>
      </c>
      <c r="T175" s="49">
        <v>9.22</v>
      </c>
      <c r="U175" s="49">
        <v>-0.537833604129143</v>
      </c>
      <c r="V175" s="49">
        <v>5.12</v>
      </c>
      <c r="W175" s="23">
        <v>-1.15004392780804</v>
      </c>
      <c r="X175" s="23"/>
      <c r="Y175" s="49"/>
      <c r="Z175" s="49">
        <v>9.7</v>
      </c>
      <c r="AA175" s="49">
        <v>-0.777938087079845</v>
      </c>
      <c r="AB175" s="49">
        <v>6.11</v>
      </c>
      <c r="AC175" s="23">
        <v>-0.443034966131371</v>
      </c>
      <c r="AD175" s="23"/>
      <c r="AE175" s="49"/>
      <c r="AF175" s="49">
        <v>108.94</v>
      </c>
      <c r="AG175" s="49">
        <v>-0.892627091607361</v>
      </c>
      <c r="AH175" s="54">
        <v>51.54</v>
      </c>
      <c r="AI175" s="23">
        <v>-0.147176792906493</v>
      </c>
      <c r="AJ175" s="24">
        <v>77</v>
      </c>
      <c r="AK175" s="29">
        <v>2</v>
      </c>
      <c r="AL175" s="29">
        <v>1</v>
      </c>
      <c r="AM175" s="29">
        <v>1</v>
      </c>
      <c r="AN175" s="30"/>
      <c r="AO175" s="29">
        <v>1</v>
      </c>
      <c r="AP175" s="35"/>
      <c r="AQ175" s="35"/>
      <c r="AR175" s="35"/>
      <c r="AS175" s="35"/>
      <c r="AT175" s="35"/>
      <c r="AU175" s="35"/>
      <c r="AV175" s="35"/>
      <c r="AW175" s="35"/>
      <c r="AX175" s="35"/>
      <c r="AY175" s="35"/>
      <c r="AZ175" s="35"/>
      <c r="BA175" s="29">
        <v>2</v>
      </c>
      <c r="BB175" s="29">
        <v>0</v>
      </c>
      <c r="BC175" s="29">
        <v>0</v>
      </c>
      <c r="BD175" s="29">
        <v>0</v>
      </c>
      <c r="BE175" s="24">
        <v>1639</v>
      </c>
      <c r="BF175" s="29">
        <f t="shared" si="2"/>
        <v>0</v>
      </c>
    </row>
    <row r="176" spans="1:58">
      <c r="A176" s="48" t="s">
        <v>284</v>
      </c>
      <c r="B176" s="48" t="s">
        <v>285</v>
      </c>
      <c r="C176" s="15" t="s">
        <v>192</v>
      </c>
      <c r="D176" s="49">
        <v>74.79</v>
      </c>
      <c r="E176" s="49">
        <v>1.01555411186573</v>
      </c>
      <c r="F176" s="49">
        <v>38.59</v>
      </c>
      <c r="G176" s="49">
        <v>-1.73298788984348</v>
      </c>
      <c r="H176" s="49">
        <v>14.66</v>
      </c>
      <c r="I176" s="49">
        <v>-0.842523144375868</v>
      </c>
      <c r="J176" s="49">
        <v>4.87</v>
      </c>
      <c r="K176" s="52">
        <v>-0.528577579147549</v>
      </c>
      <c r="L176" s="52">
        <v>0</v>
      </c>
      <c r="M176" s="49">
        <v>-0.834641567135534</v>
      </c>
      <c r="N176" s="49">
        <v>15.41</v>
      </c>
      <c r="O176" s="49">
        <v>-0.449737513573698</v>
      </c>
      <c r="P176" s="49">
        <v>5.22</v>
      </c>
      <c r="Q176" s="49">
        <v>-0.361700744362568</v>
      </c>
      <c r="R176" s="49">
        <v>10.1</v>
      </c>
      <c r="S176" s="49">
        <v>-0.33599217246218</v>
      </c>
      <c r="T176" s="49">
        <v>11.9</v>
      </c>
      <c r="U176" s="49">
        <v>-0.446581875247661</v>
      </c>
      <c r="V176" s="49">
        <v>2.96</v>
      </c>
      <c r="W176" s="23">
        <v>-1.83134583506932</v>
      </c>
      <c r="X176" s="23"/>
      <c r="Y176" s="49"/>
      <c r="Z176" s="49">
        <v>11.67</v>
      </c>
      <c r="AA176" s="49">
        <v>-0.482081324232877</v>
      </c>
      <c r="AB176" s="49">
        <v>2.56</v>
      </c>
      <c r="AC176" s="23">
        <v>-0.468443477181806</v>
      </c>
      <c r="AD176" s="23"/>
      <c r="AE176" s="49"/>
      <c r="AF176" s="49">
        <v>69.11</v>
      </c>
      <c r="AG176" s="49">
        <v>-1.16401273111069</v>
      </c>
      <c r="AH176" s="54">
        <v>67.58</v>
      </c>
      <c r="AI176" s="23">
        <v>-0.100693474408785</v>
      </c>
      <c r="AJ176" s="24">
        <v>74</v>
      </c>
      <c r="AK176" s="29">
        <v>1</v>
      </c>
      <c r="AL176" s="29">
        <v>1</v>
      </c>
      <c r="AM176" s="29">
        <v>3</v>
      </c>
      <c r="AN176" s="30"/>
      <c r="AO176" s="29">
        <v>1</v>
      </c>
      <c r="AP176" s="35"/>
      <c r="AQ176" s="35"/>
      <c r="AR176" s="35"/>
      <c r="AS176" s="35"/>
      <c r="AT176" s="35"/>
      <c r="AU176" s="35"/>
      <c r="AV176" s="35"/>
      <c r="AW176" s="35"/>
      <c r="AX176" s="35"/>
      <c r="AY176" s="35"/>
      <c r="AZ176" s="35"/>
      <c r="BA176" s="29">
        <v>4</v>
      </c>
      <c r="BB176" s="29">
        <v>0</v>
      </c>
      <c r="BC176" s="29">
        <v>1</v>
      </c>
      <c r="BD176" s="29">
        <v>0</v>
      </c>
      <c r="BE176" s="24">
        <v>1111</v>
      </c>
      <c r="BF176" s="29">
        <f t="shared" si="2"/>
        <v>0</v>
      </c>
    </row>
    <row r="177" spans="1:58">
      <c r="A177" s="48" t="s">
        <v>286</v>
      </c>
      <c r="B177" s="48" t="s">
        <v>287</v>
      </c>
      <c r="C177" s="15" t="s">
        <v>192</v>
      </c>
      <c r="D177" s="49">
        <v>67.68</v>
      </c>
      <c r="E177" s="49">
        <v>0.822251429531797</v>
      </c>
      <c r="F177" s="49">
        <v>99.78</v>
      </c>
      <c r="G177" s="49">
        <v>0.61075100893168</v>
      </c>
      <c r="H177" s="49">
        <v>454.35</v>
      </c>
      <c r="I177" s="49">
        <v>8.31024162685074</v>
      </c>
      <c r="J177" s="49">
        <v>208.74</v>
      </c>
      <c r="K177" s="49">
        <v>1.78637149853028</v>
      </c>
      <c r="L177" s="49">
        <v>38.86</v>
      </c>
      <c r="M177" s="49">
        <v>7.30748754015375</v>
      </c>
      <c r="N177" s="49">
        <v>1226</v>
      </c>
      <c r="O177" s="49">
        <v>0.999390255490038</v>
      </c>
      <c r="P177" s="49">
        <v>70.6</v>
      </c>
      <c r="Q177" s="49">
        <v>1.63495528380615</v>
      </c>
      <c r="R177" s="49">
        <v>71.12</v>
      </c>
      <c r="S177" s="49">
        <v>1.46462984046946</v>
      </c>
      <c r="T177" s="49">
        <v>78.8</v>
      </c>
      <c r="U177" s="49">
        <v>1.8313064315326</v>
      </c>
      <c r="V177" s="49">
        <v>14.21</v>
      </c>
      <c r="W177" s="23">
        <v>1.71710159858319</v>
      </c>
      <c r="X177" s="23"/>
      <c r="Y177" s="49"/>
      <c r="Z177" s="49">
        <v>18.74</v>
      </c>
      <c r="AA177" s="49">
        <v>0.579699037862585</v>
      </c>
      <c r="AB177" s="49">
        <v>319.81</v>
      </c>
      <c r="AC177" s="23">
        <v>1.80221853148026</v>
      </c>
      <c r="AD177" s="23"/>
      <c r="AE177" s="49"/>
      <c r="AF177" s="49">
        <v>262.24</v>
      </c>
      <c r="AG177" s="49">
        <v>0.151897601735868</v>
      </c>
      <c r="AH177" s="54">
        <v>48.02</v>
      </c>
      <c r="AI177" s="23">
        <v>-0.15737762090599</v>
      </c>
      <c r="AJ177" s="24">
        <v>46</v>
      </c>
      <c r="AK177" s="29">
        <v>1</v>
      </c>
      <c r="AL177" s="29">
        <v>1</v>
      </c>
      <c r="AM177" s="29">
        <v>3</v>
      </c>
      <c r="AN177" s="30"/>
      <c r="AO177" s="29">
        <v>1</v>
      </c>
      <c r="AP177" s="35"/>
      <c r="AQ177" s="35"/>
      <c r="AR177" s="35"/>
      <c r="AS177" s="35"/>
      <c r="AT177" s="35"/>
      <c r="AU177" s="35"/>
      <c r="AV177" s="35"/>
      <c r="AW177" s="35"/>
      <c r="AX177" s="35"/>
      <c r="AY177" s="35"/>
      <c r="AZ177" s="35"/>
      <c r="BA177" s="29">
        <v>4</v>
      </c>
      <c r="BB177" s="29">
        <v>0</v>
      </c>
      <c r="BC177" s="29">
        <v>0</v>
      </c>
      <c r="BD177" s="29">
        <v>0</v>
      </c>
      <c r="BE177" s="24">
        <v>1638</v>
      </c>
      <c r="BF177" s="29">
        <f t="shared" si="2"/>
        <v>0</v>
      </c>
    </row>
    <row r="178" spans="1:58">
      <c r="A178" s="48" t="s">
        <v>288</v>
      </c>
      <c r="B178" s="48" t="s">
        <v>289</v>
      </c>
      <c r="C178" s="15" t="s">
        <v>192</v>
      </c>
      <c r="D178" s="49">
        <v>24.02</v>
      </c>
      <c r="E178" s="49">
        <v>-0.364752102212173</v>
      </c>
      <c r="F178" s="49">
        <v>88.84</v>
      </c>
      <c r="G178" s="49">
        <v>0.191720063473267</v>
      </c>
      <c r="H178" s="49">
        <v>57.92</v>
      </c>
      <c r="I178" s="49">
        <v>0.0579945021552398</v>
      </c>
      <c r="J178" s="49">
        <v>180.74</v>
      </c>
      <c r="K178" s="49">
        <v>1.46843078054834</v>
      </c>
      <c r="L178" s="49">
        <v>5.25</v>
      </c>
      <c r="M178" s="49">
        <v>0.265363008604783</v>
      </c>
      <c r="N178" s="49">
        <v>981.56</v>
      </c>
      <c r="O178" s="49">
        <v>0.706785168821604</v>
      </c>
      <c r="P178" s="49">
        <v>64.87</v>
      </c>
      <c r="Q178" s="49">
        <v>1.45996539329825</v>
      </c>
      <c r="R178" s="49">
        <v>67.07</v>
      </c>
      <c r="S178" s="49">
        <v>1.34511952987665</v>
      </c>
      <c r="T178" s="49">
        <v>67.58</v>
      </c>
      <c r="U178" s="49">
        <v>1.44927493972282</v>
      </c>
      <c r="V178" s="49">
        <v>9.18</v>
      </c>
      <c r="W178" s="23">
        <v>0.130551323803447</v>
      </c>
      <c r="X178" s="23"/>
      <c r="Y178" s="49"/>
      <c r="Z178" s="49">
        <v>14.07</v>
      </c>
      <c r="AA178" s="49">
        <v>-0.121646689292409</v>
      </c>
      <c r="AB178" s="49">
        <v>211.96</v>
      </c>
      <c r="AC178" s="23">
        <v>1.03030080844101</v>
      </c>
      <c r="AD178" s="23"/>
      <c r="AE178" s="49"/>
      <c r="AF178" s="49">
        <v>77.1</v>
      </c>
      <c r="AG178" s="49">
        <v>-1.10957207683925</v>
      </c>
      <c r="AH178" s="54">
        <v>36.01</v>
      </c>
      <c r="AI178" s="23">
        <v>-0.192182150529273</v>
      </c>
      <c r="AJ178" s="24">
        <v>63</v>
      </c>
      <c r="AK178" s="29">
        <v>1</v>
      </c>
      <c r="AL178" s="29">
        <v>1</v>
      </c>
      <c r="AM178" s="29">
        <v>2</v>
      </c>
      <c r="AN178" s="30"/>
      <c r="AO178" s="29">
        <v>3</v>
      </c>
      <c r="AP178" s="35"/>
      <c r="AQ178" s="35"/>
      <c r="AR178" s="35"/>
      <c r="AS178" s="35"/>
      <c r="AT178" s="35"/>
      <c r="AU178" s="35"/>
      <c r="AV178" s="35"/>
      <c r="AW178" s="35"/>
      <c r="AX178" s="35"/>
      <c r="AY178" s="35"/>
      <c r="AZ178" s="35"/>
      <c r="BA178" s="29">
        <v>3</v>
      </c>
      <c r="BB178" s="29">
        <v>1</v>
      </c>
      <c r="BC178" s="29">
        <v>1</v>
      </c>
      <c r="BD178" s="29">
        <v>0</v>
      </c>
      <c r="BE178" s="24">
        <v>1644</v>
      </c>
      <c r="BF178" s="29">
        <f t="shared" si="2"/>
        <v>0</v>
      </c>
    </row>
    <row r="179" ht="15.75" spans="1:58">
      <c r="A179" s="50" t="s">
        <v>290</v>
      </c>
      <c r="B179" s="50" t="s">
        <v>291</v>
      </c>
      <c r="C179" s="15" t="s">
        <v>192</v>
      </c>
      <c r="D179" s="49">
        <v>36.39</v>
      </c>
      <c r="E179" s="49">
        <v>-0.0284434973639613</v>
      </c>
      <c r="F179" s="49">
        <v>71.82</v>
      </c>
      <c r="G179" s="49">
        <v>-0.460190968675014</v>
      </c>
      <c r="H179" s="49">
        <v>48.29</v>
      </c>
      <c r="I179" s="49">
        <v>-0.142467470477552</v>
      </c>
      <c r="J179" s="49">
        <v>131.97</v>
      </c>
      <c r="K179" s="49">
        <v>0.91464617997764</v>
      </c>
      <c r="L179" s="49">
        <v>4.73</v>
      </c>
      <c r="M179" s="49">
        <v>0.156410174436218</v>
      </c>
      <c r="N179" s="49">
        <v>908.08</v>
      </c>
      <c r="O179" s="49">
        <v>0.618826480520195</v>
      </c>
      <c r="P179" s="49">
        <v>36.14</v>
      </c>
      <c r="Q179" s="49">
        <v>0.582572800926157</v>
      </c>
      <c r="R179" s="49">
        <v>51.37</v>
      </c>
      <c r="S179" s="49">
        <v>0.881832646837865</v>
      </c>
      <c r="T179" s="49">
        <v>37.41</v>
      </c>
      <c r="U179" s="49">
        <v>0.422012006754797</v>
      </c>
      <c r="V179" s="49">
        <v>8.02</v>
      </c>
      <c r="W179" s="23">
        <v>-0.235333033799835</v>
      </c>
      <c r="X179" s="23"/>
      <c r="Y179" s="49"/>
      <c r="Z179" s="49">
        <v>17.54</v>
      </c>
      <c r="AA179" s="49">
        <v>0.399481720392351</v>
      </c>
      <c r="AB179" s="49">
        <v>147.03</v>
      </c>
      <c r="AC179" s="23">
        <v>0.56557556266503</v>
      </c>
      <c r="AD179" s="23"/>
      <c r="AE179" s="49"/>
      <c r="AF179" s="53">
        <v>250.32</v>
      </c>
      <c r="AG179" s="53">
        <v>0.0706795042495583</v>
      </c>
      <c r="AH179" s="53">
        <v>71.65</v>
      </c>
      <c r="AI179" s="23">
        <v>-0.0888987670343663</v>
      </c>
      <c r="AJ179" s="24">
        <v>70</v>
      </c>
      <c r="AK179" s="29">
        <v>1</v>
      </c>
      <c r="AL179" s="29">
        <v>1</v>
      </c>
      <c r="AM179" s="29">
        <v>2</v>
      </c>
      <c r="AN179" s="30"/>
      <c r="AO179" s="29">
        <v>3</v>
      </c>
      <c r="AP179" s="35"/>
      <c r="AQ179" s="35"/>
      <c r="AR179" s="35"/>
      <c r="AS179" s="35"/>
      <c r="AT179" s="35"/>
      <c r="AU179" s="35"/>
      <c r="AV179" s="35"/>
      <c r="AW179" s="35"/>
      <c r="AX179" s="35"/>
      <c r="AY179" s="35"/>
      <c r="AZ179" s="35"/>
      <c r="BA179" s="29">
        <v>4</v>
      </c>
      <c r="BB179" s="29">
        <v>1</v>
      </c>
      <c r="BC179" s="29">
        <v>0</v>
      </c>
      <c r="BD179" s="29">
        <v>0</v>
      </c>
      <c r="BE179" s="24">
        <v>1577</v>
      </c>
      <c r="BF179" s="29">
        <f t="shared" si="2"/>
        <v>0</v>
      </c>
    </row>
    <row r="180" ht="16.5" spans="1:58">
      <c r="A180" s="48" t="s">
        <v>292</v>
      </c>
      <c r="B180" s="48" t="s">
        <v>293</v>
      </c>
      <c r="C180" s="15" t="s">
        <v>192</v>
      </c>
      <c r="D180" s="51">
        <v>63.75</v>
      </c>
      <c r="E180" s="51">
        <v>0.715404799212196</v>
      </c>
      <c r="F180" s="51">
        <v>75.68</v>
      </c>
      <c r="G180" s="51">
        <v>-0.312342755743617</v>
      </c>
      <c r="H180" s="51">
        <v>97.45</v>
      </c>
      <c r="I180" s="51">
        <v>0.880866960947998</v>
      </c>
      <c r="J180" s="51">
        <v>210.13</v>
      </c>
      <c r="K180" s="51">
        <v>1.80215498417296</v>
      </c>
      <c r="L180" s="51">
        <v>5.94</v>
      </c>
      <c r="M180" s="51">
        <v>0.409935038559225</v>
      </c>
      <c r="N180" s="51">
        <v>1530</v>
      </c>
      <c r="O180" s="51">
        <v>1.36329119783664</v>
      </c>
      <c r="P180" s="51">
        <v>66.32</v>
      </c>
      <c r="Q180" s="51">
        <v>1.5042473027636</v>
      </c>
      <c r="R180" s="51">
        <v>58.85</v>
      </c>
      <c r="S180" s="51">
        <v>1.10255786245125</v>
      </c>
      <c r="T180" s="51">
        <v>98.59</v>
      </c>
      <c r="U180" s="51">
        <v>2.50513916084772</v>
      </c>
      <c r="V180" s="51">
        <v>9.4</v>
      </c>
      <c r="W180" s="23">
        <v>0.199943184728207</v>
      </c>
      <c r="X180" s="23"/>
      <c r="Y180" s="49"/>
      <c r="Z180" s="53">
        <v>12.52</v>
      </c>
      <c r="AA180" s="53">
        <v>-0.354427391024794</v>
      </c>
      <c r="AB180" s="53">
        <v>173.23</v>
      </c>
      <c r="AC180" s="23">
        <v>0.753097531544293</v>
      </c>
      <c r="AD180" s="23"/>
      <c r="AE180" s="49"/>
      <c r="AF180" s="53">
        <v>356.73</v>
      </c>
      <c r="AG180" s="53">
        <v>0.795714550685651</v>
      </c>
      <c r="AH180" s="53">
        <v>71.52</v>
      </c>
      <c r="AI180" s="23">
        <v>-0.0892755021593477</v>
      </c>
      <c r="AJ180" s="24">
        <v>30</v>
      </c>
      <c r="AK180" s="29">
        <v>1</v>
      </c>
      <c r="AL180" s="29">
        <v>1</v>
      </c>
      <c r="AM180" s="29">
        <v>1</v>
      </c>
      <c r="AN180" s="30"/>
      <c r="AO180" s="29">
        <v>1</v>
      </c>
      <c r="AP180" s="35"/>
      <c r="AQ180" s="35"/>
      <c r="AR180" s="35"/>
      <c r="AS180" s="35"/>
      <c r="AT180" s="35"/>
      <c r="AU180" s="35"/>
      <c r="AV180" s="35"/>
      <c r="AW180" s="35"/>
      <c r="AX180" s="35"/>
      <c r="AY180" s="35"/>
      <c r="AZ180" s="35"/>
      <c r="BA180" s="29">
        <v>3</v>
      </c>
      <c r="BB180" s="29">
        <v>1</v>
      </c>
      <c r="BC180" s="29">
        <v>1</v>
      </c>
      <c r="BD180" s="29">
        <v>0</v>
      </c>
      <c r="BE180" s="24">
        <v>1484</v>
      </c>
      <c r="BF180" s="29">
        <f t="shared" si="2"/>
        <v>0</v>
      </c>
    </row>
    <row r="181" ht="15.75" spans="1:58">
      <c r="A181" s="48" t="s">
        <v>294</v>
      </c>
      <c r="B181" s="48" t="s">
        <v>295</v>
      </c>
      <c r="C181" s="15" t="s">
        <v>192</v>
      </c>
      <c r="D181" s="49">
        <v>14.36</v>
      </c>
      <c r="E181" s="49">
        <v>-0.627382750784017</v>
      </c>
      <c r="F181" s="49">
        <v>76.19</v>
      </c>
      <c r="G181" s="49">
        <v>-0.292808406366671</v>
      </c>
      <c r="H181" s="49">
        <v>34.21</v>
      </c>
      <c r="I181" s="49">
        <v>-0.43556244188666</v>
      </c>
      <c r="J181" s="49">
        <v>10.84</v>
      </c>
      <c r="K181" s="49">
        <v>-0.460788076063541</v>
      </c>
      <c r="L181" s="49">
        <v>2.04</v>
      </c>
      <c r="M181" s="49">
        <v>-0.407211217705011</v>
      </c>
      <c r="N181" s="49">
        <v>37.33</v>
      </c>
      <c r="O181" s="49">
        <v>-0.423498340362391</v>
      </c>
      <c r="P181" s="49">
        <v>3.3</v>
      </c>
      <c r="Q181" s="49">
        <v>-0.420336100344274</v>
      </c>
      <c r="R181" s="49">
        <v>3.72</v>
      </c>
      <c r="S181" s="49">
        <v>-0.524257797544184</v>
      </c>
      <c r="T181" s="49">
        <v>11.77</v>
      </c>
      <c r="U181" s="49">
        <v>-0.451008265081465</v>
      </c>
      <c r="V181" s="49">
        <v>8.38</v>
      </c>
      <c r="W181" s="23">
        <v>-0.121782715922954</v>
      </c>
      <c r="X181" s="23"/>
      <c r="Y181" s="49"/>
      <c r="Z181" s="53">
        <v>14.22</v>
      </c>
      <c r="AA181" s="53">
        <v>-0.0991195246086293</v>
      </c>
      <c r="AB181" s="53">
        <v>7.01</v>
      </c>
      <c r="AC181" s="23">
        <v>-0.436593371780557</v>
      </c>
      <c r="AD181" s="23"/>
      <c r="AE181" s="49"/>
      <c r="AF181" s="49">
        <v>348.03</v>
      </c>
      <c r="AG181" s="49">
        <v>0.736436241278697</v>
      </c>
      <c r="AH181" s="54">
        <v>37.48</v>
      </c>
      <c r="AI181" s="23">
        <v>-0.187922145654483</v>
      </c>
      <c r="AJ181" s="24">
        <v>83</v>
      </c>
      <c r="AK181" s="29">
        <v>1</v>
      </c>
      <c r="AL181" s="29">
        <v>1</v>
      </c>
      <c r="AM181" s="29">
        <v>1</v>
      </c>
      <c r="AN181" s="30"/>
      <c r="AO181" s="29">
        <v>1</v>
      </c>
      <c r="AP181" s="35"/>
      <c r="AQ181" s="35"/>
      <c r="AR181" s="35"/>
      <c r="AS181" s="35"/>
      <c r="AT181" s="35"/>
      <c r="AU181" s="35"/>
      <c r="AV181" s="35"/>
      <c r="AW181" s="35"/>
      <c r="AX181" s="35"/>
      <c r="AY181" s="35"/>
      <c r="AZ181" s="35"/>
      <c r="BA181" s="29">
        <v>1</v>
      </c>
      <c r="BB181" s="29">
        <v>0</v>
      </c>
      <c r="BC181" s="29">
        <v>0</v>
      </c>
      <c r="BD181" s="29">
        <v>0</v>
      </c>
      <c r="BE181" s="24">
        <v>1525</v>
      </c>
      <c r="BF181" s="29">
        <f t="shared" si="2"/>
        <v>0</v>
      </c>
    </row>
    <row r="182" spans="1:58">
      <c r="A182" s="48" t="s">
        <v>296</v>
      </c>
      <c r="B182" s="48" t="s">
        <v>297</v>
      </c>
      <c r="C182" s="15" t="s">
        <v>192</v>
      </c>
      <c r="D182" s="49">
        <v>29.59</v>
      </c>
      <c r="E182" s="49">
        <v>-0.213318073998386</v>
      </c>
      <c r="F182" s="49">
        <v>98.72</v>
      </c>
      <c r="G182" s="49">
        <v>0.570150204344302</v>
      </c>
      <c r="H182" s="49">
        <v>49.77</v>
      </c>
      <c r="I182" s="49">
        <v>-0.111659192232845</v>
      </c>
      <c r="J182" s="49">
        <v>56.02</v>
      </c>
      <c r="K182" s="49">
        <v>0.0522319824516124</v>
      </c>
      <c r="L182" s="49">
        <v>21.42</v>
      </c>
      <c r="M182" s="49">
        <v>3.65337710188496</v>
      </c>
      <c r="N182" s="49">
        <v>76.84</v>
      </c>
      <c r="O182" s="49">
        <v>-0.376203188283067</v>
      </c>
      <c r="P182" s="49">
        <v>5.08</v>
      </c>
      <c r="Q182" s="49">
        <v>-0.365976239069567</v>
      </c>
      <c r="R182" s="49">
        <v>11.14</v>
      </c>
      <c r="S182" s="49">
        <v>-0.305303105050694</v>
      </c>
      <c r="T182" s="49">
        <v>20.32</v>
      </c>
      <c r="U182" s="49">
        <v>-0.159888010627485</v>
      </c>
      <c r="V182" s="49">
        <v>9.57</v>
      </c>
      <c r="W182" s="23">
        <v>0.253564168170067</v>
      </c>
      <c r="X182" s="23"/>
      <c r="Y182" s="49"/>
      <c r="Z182" s="49">
        <v>22.97</v>
      </c>
      <c r="AA182" s="49">
        <v>1.21496508194516</v>
      </c>
      <c r="AB182" s="49">
        <v>12.24</v>
      </c>
      <c r="AC182" s="23">
        <v>-0.399160551275269</v>
      </c>
      <c r="AD182" s="23"/>
      <c r="AE182" s="49"/>
      <c r="AF182" s="49">
        <v>265.97</v>
      </c>
      <c r="AG182" s="49">
        <v>0.177312325194252</v>
      </c>
      <c r="AH182" s="54">
        <v>79.53</v>
      </c>
      <c r="AI182" s="23">
        <v>-0.0660628225354924</v>
      </c>
      <c r="AJ182" s="24">
        <v>50</v>
      </c>
      <c r="AK182" s="29">
        <v>1</v>
      </c>
      <c r="AL182" s="29">
        <v>1</v>
      </c>
      <c r="AM182" s="29">
        <v>3</v>
      </c>
      <c r="AN182" s="30"/>
      <c r="AO182" s="29">
        <v>3</v>
      </c>
      <c r="AP182" s="35"/>
      <c r="AQ182" s="35"/>
      <c r="AR182" s="35"/>
      <c r="AS182" s="35"/>
      <c r="AT182" s="35"/>
      <c r="AU182" s="35"/>
      <c r="AV182" s="35"/>
      <c r="AW182" s="35"/>
      <c r="AX182" s="35"/>
      <c r="AY182" s="35"/>
      <c r="AZ182" s="35"/>
      <c r="BA182" s="29">
        <v>2</v>
      </c>
      <c r="BB182" s="29">
        <v>0</v>
      </c>
      <c r="BC182" s="29">
        <v>0</v>
      </c>
      <c r="BD182" s="29">
        <v>0</v>
      </c>
      <c r="BE182" s="24">
        <v>20</v>
      </c>
      <c r="BF182" s="29">
        <f t="shared" si="2"/>
        <v>0</v>
      </c>
    </row>
    <row r="183" spans="1:58">
      <c r="A183" s="48" t="s">
        <v>298</v>
      </c>
      <c r="B183" s="48" t="s">
        <v>299</v>
      </c>
      <c r="C183" s="15" t="s">
        <v>192</v>
      </c>
      <c r="D183" s="49">
        <v>15.96</v>
      </c>
      <c r="E183" s="49">
        <v>-0.583882850399447</v>
      </c>
      <c r="F183" s="49">
        <v>80.55</v>
      </c>
      <c r="G183" s="49">
        <v>-0.1258088705167</v>
      </c>
      <c r="H183" s="49">
        <v>36.72</v>
      </c>
      <c r="I183" s="49">
        <v>-0.383313267295974</v>
      </c>
      <c r="J183" s="49">
        <v>20.25</v>
      </c>
      <c r="K183" s="49">
        <v>-0.353937284770323</v>
      </c>
      <c r="L183" s="49">
        <v>3.02</v>
      </c>
      <c r="M183" s="49">
        <v>-0.201877030233485</v>
      </c>
      <c r="N183" s="49">
        <v>78.79</v>
      </c>
      <c r="O183" s="49">
        <v>-0.373868955264725</v>
      </c>
      <c r="P183" s="49">
        <v>5.18</v>
      </c>
      <c r="Q183" s="49">
        <v>-0.362922314278854</v>
      </c>
      <c r="R183" s="49">
        <v>8.12</v>
      </c>
      <c r="S183" s="49">
        <v>-0.394419435418664</v>
      </c>
      <c r="T183" s="49">
        <v>15</v>
      </c>
      <c r="U183" s="49">
        <v>-0.341029502287739</v>
      </c>
      <c r="V183" s="49">
        <v>10.08</v>
      </c>
      <c r="W183" s="23">
        <v>0.414427118495648</v>
      </c>
      <c r="X183" s="23"/>
      <c r="Y183" s="49"/>
      <c r="Z183" s="49">
        <v>13.77</v>
      </c>
      <c r="AA183" s="49">
        <v>-0.166701018659967</v>
      </c>
      <c r="AB183" s="49">
        <v>14.62</v>
      </c>
      <c r="AC183" s="23">
        <v>-0.382126112880893</v>
      </c>
      <c r="AD183" s="23"/>
      <c r="AE183" s="49"/>
      <c r="AF183" s="49">
        <v>457.6</v>
      </c>
      <c r="AG183" s="49">
        <v>1.4830022598672</v>
      </c>
      <c r="AH183" s="54">
        <v>70.88</v>
      </c>
      <c r="AI183" s="23">
        <v>-0.0911301981592563</v>
      </c>
      <c r="AJ183" s="24">
        <v>77</v>
      </c>
      <c r="AK183" s="29">
        <v>1</v>
      </c>
      <c r="AL183" s="29">
        <v>1</v>
      </c>
      <c r="AM183" s="29">
        <v>2</v>
      </c>
      <c r="AN183" s="30"/>
      <c r="AO183" s="29">
        <v>3</v>
      </c>
      <c r="AP183" s="35"/>
      <c r="AQ183" s="35"/>
      <c r="AR183" s="35"/>
      <c r="AS183" s="35"/>
      <c r="AT183" s="35"/>
      <c r="AU183" s="35"/>
      <c r="AV183" s="35"/>
      <c r="AW183" s="35"/>
      <c r="AX183" s="35"/>
      <c r="AY183" s="35"/>
      <c r="AZ183" s="35"/>
      <c r="BA183" s="29">
        <v>1</v>
      </c>
      <c r="BB183" s="29">
        <v>0</v>
      </c>
      <c r="BC183" s="29">
        <v>0</v>
      </c>
      <c r="BD183" s="29">
        <v>1</v>
      </c>
      <c r="BE183" s="24">
        <v>184</v>
      </c>
      <c r="BF183" s="29">
        <f t="shared" si="2"/>
        <v>1</v>
      </c>
    </row>
    <row r="184" spans="1:58">
      <c r="A184" s="48" t="s">
        <v>300</v>
      </c>
      <c r="B184" s="48" t="s">
        <v>301</v>
      </c>
      <c r="C184" s="15" t="s">
        <v>192</v>
      </c>
      <c r="D184" s="49">
        <v>171.8</v>
      </c>
      <c r="E184" s="49">
        <v>3.65300744705773</v>
      </c>
      <c r="F184" s="49">
        <v>100.08</v>
      </c>
      <c r="G184" s="49">
        <v>0.622241802682825</v>
      </c>
      <c r="H184" s="49">
        <v>44.72</v>
      </c>
      <c r="I184" s="49">
        <v>-0.216782033540799</v>
      </c>
      <c r="J184" s="49">
        <v>201.6</v>
      </c>
      <c r="K184" s="49">
        <v>1.70529661544489</v>
      </c>
      <c r="L184" s="49">
        <v>7.06</v>
      </c>
      <c r="M184" s="49">
        <v>0.644602681383826</v>
      </c>
      <c r="N184" s="49">
        <v>1837</v>
      </c>
      <c r="O184" s="49">
        <v>1.73078326790377</v>
      </c>
      <c r="P184" s="49">
        <v>72.7</v>
      </c>
      <c r="Q184" s="49">
        <v>1.69908770441114</v>
      </c>
      <c r="R184" s="49">
        <v>78.7</v>
      </c>
      <c r="S184" s="49">
        <v>1.68830592794933</v>
      </c>
      <c r="T184" s="49">
        <v>70.8</v>
      </c>
      <c r="U184" s="49">
        <v>1.55891321099086</v>
      </c>
      <c r="V184" s="49">
        <v>13.42</v>
      </c>
      <c r="W184" s="23">
        <v>1.46792173435337</v>
      </c>
      <c r="X184" s="23"/>
      <c r="Y184" s="49"/>
      <c r="Z184" s="49">
        <v>21.49</v>
      </c>
      <c r="AA184" s="49">
        <v>0.992697057065205</v>
      </c>
      <c r="AB184" s="49">
        <v>290.67</v>
      </c>
      <c r="AC184" s="23">
        <v>1.593654021055</v>
      </c>
      <c r="AD184" s="23"/>
      <c r="AE184" s="49"/>
      <c r="AF184" s="49">
        <v>497.56</v>
      </c>
      <c r="AG184" s="49">
        <v>1.75527366721225</v>
      </c>
      <c r="AH184" s="54">
        <v>54.65</v>
      </c>
      <c r="AI184" s="23">
        <v>-0.138164129531937</v>
      </c>
      <c r="AJ184" s="24">
        <v>81</v>
      </c>
      <c r="AK184" s="29">
        <v>1</v>
      </c>
      <c r="AL184" s="29">
        <v>1</v>
      </c>
      <c r="AM184" s="29">
        <v>2</v>
      </c>
      <c r="AN184" s="30"/>
      <c r="AO184" s="29">
        <v>1</v>
      </c>
      <c r="AP184" s="35"/>
      <c r="AQ184" s="35"/>
      <c r="AR184" s="35"/>
      <c r="AS184" s="35"/>
      <c r="AT184" s="35"/>
      <c r="AU184" s="35"/>
      <c r="AV184" s="35"/>
      <c r="AW184" s="35"/>
      <c r="AX184" s="35"/>
      <c r="AY184" s="35"/>
      <c r="AZ184" s="35"/>
      <c r="BA184" s="29">
        <v>5</v>
      </c>
      <c r="BB184" s="29">
        <v>0</v>
      </c>
      <c r="BC184" s="29">
        <v>0</v>
      </c>
      <c r="BD184" s="29">
        <v>0</v>
      </c>
      <c r="BE184" s="24">
        <v>1619</v>
      </c>
      <c r="BF184" s="29">
        <f t="shared" si="2"/>
        <v>0</v>
      </c>
    </row>
    <row r="185" spans="1:58">
      <c r="A185" s="48" t="s">
        <v>302</v>
      </c>
      <c r="B185" s="48" t="s">
        <v>303</v>
      </c>
      <c r="C185" s="15" t="s">
        <v>192</v>
      </c>
      <c r="D185" s="49">
        <v>98.95</v>
      </c>
      <c r="E185" s="49">
        <v>1.67240260767275</v>
      </c>
      <c r="F185" s="49">
        <v>98.72</v>
      </c>
      <c r="G185" s="49">
        <v>0.570150204344302</v>
      </c>
      <c r="H185" s="49">
        <v>40.37</v>
      </c>
      <c r="I185" s="49">
        <v>-0.307333391895175</v>
      </c>
      <c r="J185" s="49">
        <v>14.58</v>
      </c>
      <c r="K185" s="49">
        <v>-0.418320280161667</v>
      </c>
      <c r="L185" s="49">
        <v>5.11</v>
      </c>
      <c r="M185" s="49">
        <v>0.236029553251708</v>
      </c>
      <c r="N185" s="49">
        <v>44.98</v>
      </c>
      <c r="O185" s="49">
        <v>-0.41434096467505</v>
      </c>
      <c r="P185" s="49">
        <v>3.32</v>
      </c>
      <c r="Q185" s="49">
        <v>-0.419725315386131</v>
      </c>
      <c r="R185" s="49">
        <v>8.54</v>
      </c>
      <c r="S185" s="49">
        <v>-0.38202577357941</v>
      </c>
      <c r="T185" s="49">
        <v>8.4</v>
      </c>
      <c r="U185" s="49">
        <v>-0.565753909234671</v>
      </c>
      <c r="V185" s="49">
        <v>11.28</v>
      </c>
      <c r="W185" s="23">
        <v>0.792928178085249</v>
      </c>
      <c r="X185" s="23"/>
      <c r="Y185" s="49"/>
      <c r="Z185" s="49">
        <v>15.85</v>
      </c>
      <c r="AA185" s="49">
        <v>0.145675664955105</v>
      </c>
      <c r="AB185" s="49">
        <v>12.79</v>
      </c>
      <c r="AC185" s="23">
        <v>-0.395224021394216</v>
      </c>
      <c r="AD185" s="23"/>
      <c r="AE185" s="49"/>
      <c r="AF185" s="49">
        <v>687.67</v>
      </c>
      <c r="AG185" s="49">
        <v>3.05060693173593</v>
      </c>
      <c r="AH185" s="54">
        <v>51.77</v>
      </c>
      <c r="AI185" s="23">
        <v>-0.146510261531525</v>
      </c>
      <c r="AJ185" s="24">
        <v>61</v>
      </c>
      <c r="AK185" s="29">
        <v>2</v>
      </c>
      <c r="AL185" s="29">
        <v>1</v>
      </c>
      <c r="AM185" s="29">
        <v>2</v>
      </c>
      <c r="AN185" s="30"/>
      <c r="AO185" s="29">
        <v>1</v>
      </c>
      <c r="AP185" s="35"/>
      <c r="AQ185" s="35"/>
      <c r="AR185" s="35"/>
      <c r="AS185" s="35"/>
      <c r="AT185" s="35"/>
      <c r="AU185" s="35"/>
      <c r="AV185" s="35"/>
      <c r="AW185" s="35"/>
      <c r="AX185" s="35"/>
      <c r="AY185" s="35"/>
      <c r="AZ185" s="35"/>
      <c r="BA185" s="29">
        <v>5</v>
      </c>
      <c r="BB185" s="29">
        <v>0</v>
      </c>
      <c r="BC185" s="29">
        <v>1</v>
      </c>
      <c r="BD185" s="29">
        <v>1</v>
      </c>
      <c r="BE185" s="24">
        <v>198</v>
      </c>
      <c r="BF185" s="29">
        <f t="shared" si="2"/>
        <v>1</v>
      </c>
    </row>
    <row r="186" spans="1:58">
      <c r="A186" s="48" t="s">
        <v>304</v>
      </c>
      <c r="B186" s="48" t="s">
        <v>305</v>
      </c>
      <c r="C186" s="15" t="s">
        <v>192</v>
      </c>
      <c r="D186" s="49">
        <v>38.38</v>
      </c>
      <c r="E186" s="49">
        <v>0.0256595037393485</v>
      </c>
      <c r="F186" s="49">
        <v>94.62</v>
      </c>
      <c r="G186" s="49">
        <v>0.41310935641199</v>
      </c>
      <c r="H186" s="49">
        <v>61.76</v>
      </c>
      <c r="I186" s="49">
        <v>0.137929494357724</v>
      </c>
      <c r="J186" s="49">
        <v>220.55</v>
      </c>
      <c r="K186" s="49">
        <v>1.92047435136481</v>
      </c>
      <c r="L186" s="49">
        <v>6.02</v>
      </c>
      <c r="M186" s="49">
        <v>0.426697013046696</v>
      </c>
      <c r="N186" s="49">
        <v>1837</v>
      </c>
      <c r="O186" s="49">
        <v>1.73078326790377</v>
      </c>
      <c r="P186" s="49">
        <v>89.03</v>
      </c>
      <c r="Q186" s="49">
        <v>2.19779362273472</v>
      </c>
      <c r="R186" s="49">
        <v>93.74</v>
      </c>
      <c r="S186" s="49">
        <v>2.13211705666929</v>
      </c>
      <c r="T186" s="49">
        <v>84.45</v>
      </c>
      <c r="U186" s="49">
        <v>2.0236841435402</v>
      </c>
      <c r="V186" s="49">
        <v>12.55</v>
      </c>
      <c r="W186" s="23">
        <v>1.19350846615091</v>
      </c>
      <c r="X186" s="23"/>
      <c r="Y186" s="49"/>
      <c r="Z186" s="49">
        <v>13.92</v>
      </c>
      <c r="AA186" s="49">
        <v>-0.144173853976188</v>
      </c>
      <c r="AB186" s="49">
        <v>339.32</v>
      </c>
      <c r="AC186" s="23">
        <v>1.9418579823518</v>
      </c>
      <c r="AD186" s="23"/>
      <c r="AE186" s="49"/>
      <c r="AF186" s="49">
        <v>549.88</v>
      </c>
      <c r="AG186" s="49">
        <v>2.11176115550786</v>
      </c>
      <c r="AH186" s="54">
        <v>98.91</v>
      </c>
      <c r="AI186" s="23">
        <v>-0.00990030928826175</v>
      </c>
      <c r="AJ186" s="24">
        <v>50</v>
      </c>
      <c r="AK186" s="29">
        <v>1</v>
      </c>
      <c r="AL186" s="29">
        <v>1</v>
      </c>
      <c r="AM186" s="29">
        <v>3</v>
      </c>
      <c r="AN186" s="30"/>
      <c r="AO186" s="29">
        <v>1</v>
      </c>
      <c r="AP186" s="35"/>
      <c r="AQ186" s="35"/>
      <c r="AR186" s="35"/>
      <c r="AS186" s="35"/>
      <c r="AT186" s="35"/>
      <c r="AU186" s="35"/>
      <c r="AV186" s="35"/>
      <c r="AW186" s="35"/>
      <c r="AX186" s="35"/>
      <c r="AY186" s="35"/>
      <c r="AZ186" s="35"/>
      <c r="BA186" s="29">
        <v>3</v>
      </c>
      <c r="BB186" s="29">
        <v>1</v>
      </c>
      <c r="BC186" s="29">
        <v>0</v>
      </c>
      <c r="BD186" s="29">
        <v>0</v>
      </c>
      <c r="BE186" s="24">
        <v>1623</v>
      </c>
      <c r="BF186" s="29">
        <f t="shared" si="2"/>
        <v>0</v>
      </c>
    </row>
    <row r="187" spans="1:58">
      <c r="A187" s="48" t="s">
        <v>306</v>
      </c>
      <c r="B187" s="48" t="s">
        <v>307</v>
      </c>
      <c r="C187" s="15" t="s">
        <v>192</v>
      </c>
      <c r="D187" s="49">
        <v>12.14</v>
      </c>
      <c r="E187" s="49">
        <v>-0.687738862567609</v>
      </c>
      <c r="F187" s="49">
        <v>91.17</v>
      </c>
      <c r="G187" s="49">
        <v>0.280965228273825</v>
      </c>
      <c r="H187" s="49">
        <v>68.01</v>
      </c>
      <c r="I187" s="49">
        <v>0.268032020728954</v>
      </c>
      <c r="J187" s="49">
        <v>15.12</v>
      </c>
      <c r="K187" s="49">
        <v>-0.412188566314873</v>
      </c>
      <c r="L187" s="49">
        <v>1.86</v>
      </c>
      <c r="M187" s="49">
        <v>-0.444925660301822</v>
      </c>
      <c r="N187" s="49">
        <v>65.08</v>
      </c>
      <c r="O187" s="49">
        <v>-0.390280408947528</v>
      </c>
      <c r="P187" s="49">
        <v>3.18</v>
      </c>
      <c r="Q187" s="49">
        <v>-0.424000810093131</v>
      </c>
      <c r="R187" s="49">
        <v>9.87</v>
      </c>
      <c r="S187" s="49">
        <v>-0.342779177755105</v>
      </c>
      <c r="T187" s="49">
        <v>9.26</v>
      </c>
      <c r="U187" s="49">
        <v>-0.536471638026434</v>
      </c>
      <c r="V187" s="49">
        <v>7.57</v>
      </c>
      <c r="W187" s="23">
        <v>-0.377270931145935</v>
      </c>
      <c r="X187" s="23"/>
      <c r="Y187" s="49"/>
      <c r="Z187" s="49">
        <v>12.15</v>
      </c>
      <c r="AA187" s="49">
        <v>-0.409994397244783</v>
      </c>
      <c r="AB187" s="49">
        <v>11.7</v>
      </c>
      <c r="AC187" s="23">
        <v>-0.403025507885757</v>
      </c>
      <c r="AD187" s="23"/>
      <c r="AE187" s="49"/>
      <c r="AF187" s="49">
        <v>165.93</v>
      </c>
      <c r="AG187" s="49">
        <v>-0.504320096997898</v>
      </c>
      <c r="AH187" s="54">
        <v>44.36</v>
      </c>
      <c r="AI187" s="23">
        <v>-0.167984163655467</v>
      </c>
      <c r="AJ187" s="24">
        <v>42</v>
      </c>
      <c r="AK187" s="29">
        <v>2</v>
      </c>
      <c r="AL187" s="29">
        <v>1</v>
      </c>
      <c r="AM187" s="29">
        <v>3</v>
      </c>
      <c r="AN187" s="30"/>
      <c r="AO187" s="29">
        <v>3</v>
      </c>
      <c r="AP187" s="35"/>
      <c r="AQ187" s="35"/>
      <c r="AR187" s="35"/>
      <c r="AS187" s="35"/>
      <c r="AT187" s="35"/>
      <c r="AU187" s="35"/>
      <c r="AV187" s="35"/>
      <c r="AW187" s="35"/>
      <c r="AX187" s="35"/>
      <c r="AY187" s="35"/>
      <c r="AZ187" s="35"/>
      <c r="BA187" s="29">
        <v>4</v>
      </c>
      <c r="BB187" s="29">
        <v>1</v>
      </c>
      <c r="BC187" s="29">
        <v>1</v>
      </c>
      <c r="BD187" s="29">
        <v>0</v>
      </c>
      <c r="BE187" s="24">
        <v>1598</v>
      </c>
      <c r="BF187" s="29">
        <f t="shared" si="2"/>
        <v>0</v>
      </c>
    </row>
    <row r="188" spans="1:58">
      <c r="A188" s="48" t="s">
        <v>308</v>
      </c>
      <c r="B188" s="48" t="s">
        <v>309</v>
      </c>
      <c r="C188" s="15" t="s">
        <v>192</v>
      </c>
      <c r="D188" s="49">
        <v>37.69</v>
      </c>
      <c r="E188" s="49">
        <v>0.00690017169850227</v>
      </c>
      <c r="F188" s="49">
        <v>143.51</v>
      </c>
      <c r="G188" s="49">
        <v>2.28572571139022</v>
      </c>
      <c r="H188" s="49">
        <v>43.8</v>
      </c>
      <c r="I188" s="49">
        <v>-0.235933125422644</v>
      </c>
      <c r="J188" s="49">
        <v>18.25</v>
      </c>
      <c r="K188" s="49">
        <v>-0.376647336054748</v>
      </c>
      <c r="L188" s="49">
        <v>3</v>
      </c>
      <c r="M188" s="49">
        <v>-0.206067523855353</v>
      </c>
      <c r="N188" s="49">
        <v>45.97</v>
      </c>
      <c r="O188" s="49">
        <v>-0.413155892527277</v>
      </c>
      <c r="P188" s="49">
        <v>2.22</v>
      </c>
      <c r="Q188" s="49">
        <v>-0.453318488083984</v>
      </c>
      <c r="R188" s="49">
        <v>7.46</v>
      </c>
      <c r="S188" s="49">
        <v>-0.413895189737492</v>
      </c>
      <c r="T188" s="49">
        <v>13.35</v>
      </c>
      <c r="U188" s="49">
        <v>-0.397210604024472</v>
      </c>
      <c r="V188" s="49">
        <v>9.76</v>
      </c>
      <c r="W188" s="23">
        <v>0.313493502605087</v>
      </c>
      <c r="X188" s="23"/>
      <c r="Y188" s="49"/>
      <c r="Z188" s="49">
        <v>14.66</v>
      </c>
      <c r="AA188" s="49">
        <v>-0.0330398415362102</v>
      </c>
      <c r="AB188" s="49">
        <v>11.04</v>
      </c>
      <c r="AC188" s="23">
        <v>-0.407749343743021</v>
      </c>
      <c r="AD188" s="23"/>
      <c r="AE188" s="49"/>
      <c r="AF188" s="49">
        <v>364.22</v>
      </c>
      <c r="AG188" s="49">
        <v>0.846748405565891</v>
      </c>
      <c r="AH188" s="54">
        <v>266.28</v>
      </c>
      <c r="AI188" s="23">
        <v>0.475131674312821</v>
      </c>
      <c r="AJ188" s="24">
        <v>71</v>
      </c>
      <c r="AK188" s="29">
        <v>1</v>
      </c>
      <c r="AL188" s="29">
        <v>1</v>
      </c>
      <c r="AM188" s="29">
        <v>1</v>
      </c>
      <c r="AN188" s="30"/>
      <c r="AO188" s="29">
        <v>1</v>
      </c>
      <c r="AP188" s="35"/>
      <c r="AQ188" s="35"/>
      <c r="AR188" s="35"/>
      <c r="AS188" s="35"/>
      <c r="AT188" s="35"/>
      <c r="AU188" s="35"/>
      <c r="AV188" s="35"/>
      <c r="AW188" s="35"/>
      <c r="AX188" s="35"/>
      <c r="AY188" s="35"/>
      <c r="AZ188" s="35"/>
      <c r="BA188" s="29">
        <v>4</v>
      </c>
      <c r="BB188" s="29">
        <v>0</v>
      </c>
      <c r="BC188" s="29">
        <v>1</v>
      </c>
      <c r="BD188" s="29">
        <v>1</v>
      </c>
      <c r="BE188" s="24">
        <v>595</v>
      </c>
      <c r="BF188" s="29">
        <f t="shared" si="2"/>
        <v>1</v>
      </c>
    </row>
    <row r="189" spans="1:58">
      <c r="A189" s="48" t="s">
        <v>310</v>
      </c>
      <c r="B189" s="48" t="s">
        <v>311</v>
      </c>
      <c r="C189" s="15" t="s">
        <v>192</v>
      </c>
      <c r="D189" s="49">
        <v>17.35</v>
      </c>
      <c r="E189" s="49">
        <v>-0.546092311940351</v>
      </c>
      <c r="F189" s="49">
        <v>92.55</v>
      </c>
      <c r="G189" s="49">
        <v>0.333822879529091</v>
      </c>
      <c r="H189" s="49">
        <v>51.15</v>
      </c>
      <c r="I189" s="49">
        <v>-0.082932554410077</v>
      </c>
      <c r="J189" s="49">
        <v>13.85</v>
      </c>
      <c r="K189" s="49">
        <v>-0.426609448880482</v>
      </c>
      <c r="L189" s="49">
        <v>3.3</v>
      </c>
      <c r="M189" s="49">
        <v>-0.143210119527335</v>
      </c>
      <c r="N189" s="49">
        <v>46.31</v>
      </c>
      <c r="O189" s="49">
        <v>-0.412748898052284</v>
      </c>
      <c r="P189" s="49">
        <v>2.19</v>
      </c>
      <c r="Q189" s="49">
        <v>-0.454234665521198</v>
      </c>
      <c r="R189" s="49">
        <v>5.31</v>
      </c>
      <c r="S189" s="49">
        <v>-0.477338934867007</v>
      </c>
      <c r="T189" s="49">
        <v>12.03</v>
      </c>
      <c r="U189" s="49">
        <v>-0.442155485413858</v>
      </c>
      <c r="V189" s="49">
        <v>10.16</v>
      </c>
      <c r="W189" s="23">
        <v>0.439660522468288</v>
      </c>
      <c r="X189" s="23"/>
      <c r="Y189" s="49"/>
      <c r="Z189" s="49">
        <v>16.38</v>
      </c>
      <c r="AA189" s="49">
        <v>0.225271646837792</v>
      </c>
      <c r="AB189" s="49">
        <v>10.82</v>
      </c>
      <c r="AC189" s="23">
        <v>-0.409323955695443</v>
      </c>
      <c r="AD189" s="23"/>
      <c r="AE189" s="49"/>
      <c r="AF189" s="49">
        <v>176.42</v>
      </c>
      <c r="AG189" s="49">
        <v>-0.432845445770433</v>
      </c>
      <c r="AH189" s="54">
        <v>122.71</v>
      </c>
      <c r="AI189" s="23">
        <v>0.0590711982083372</v>
      </c>
      <c r="AJ189" s="24">
        <v>59</v>
      </c>
      <c r="AK189" s="29">
        <v>1</v>
      </c>
      <c r="AL189" s="29">
        <v>1</v>
      </c>
      <c r="AM189" s="29">
        <v>2</v>
      </c>
      <c r="AN189" s="30"/>
      <c r="AO189" s="29">
        <v>1</v>
      </c>
      <c r="AP189" s="35"/>
      <c r="AQ189" s="35"/>
      <c r="AR189" s="35"/>
      <c r="AS189" s="35"/>
      <c r="AT189" s="35"/>
      <c r="AU189" s="35"/>
      <c r="AV189" s="35"/>
      <c r="AW189" s="35"/>
      <c r="AX189" s="35"/>
      <c r="AY189" s="35"/>
      <c r="AZ189" s="35"/>
      <c r="BA189" s="29">
        <v>2</v>
      </c>
      <c r="BB189" s="29">
        <v>0</v>
      </c>
      <c r="BC189" s="29">
        <v>1</v>
      </c>
      <c r="BD189" s="29">
        <v>0</v>
      </c>
      <c r="BE189" s="24">
        <v>1584</v>
      </c>
      <c r="BF189" s="29">
        <f t="shared" si="2"/>
        <v>0</v>
      </c>
    </row>
    <row r="190" spans="1:58">
      <c r="A190" s="48" t="s">
        <v>312</v>
      </c>
      <c r="B190" s="48" t="s">
        <v>313</v>
      </c>
      <c r="C190" s="15" t="s">
        <v>192</v>
      </c>
      <c r="D190" s="49">
        <v>23.76</v>
      </c>
      <c r="E190" s="49">
        <v>-0.371820836024665</v>
      </c>
      <c r="F190" s="49">
        <v>73.23</v>
      </c>
      <c r="G190" s="49">
        <v>-0.406184238044633</v>
      </c>
      <c r="H190" s="49">
        <v>47.93</v>
      </c>
      <c r="I190" s="49">
        <v>-0.149961375996535</v>
      </c>
      <c r="J190" s="49">
        <v>28.13</v>
      </c>
      <c r="K190" s="49">
        <v>-0.26445968270969</v>
      </c>
      <c r="L190" s="49">
        <v>4.08</v>
      </c>
      <c r="M190" s="49">
        <v>0.0202191317255125</v>
      </c>
      <c r="N190" s="49">
        <v>47.3</v>
      </c>
      <c r="O190" s="49">
        <v>-0.41156382590451</v>
      </c>
      <c r="P190" s="49">
        <v>4.93</v>
      </c>
      <c r="Q190" s="49">
        <v>-0.370557126255638</v>
      </c>
      <c r="R190" s="49">
        <v>10.35</v>
      </c>
      <c r="S190" s="49">
        <v>-0.328614992795957</v>
      </c>
      <c r="T190" s="49">
        <v>18.35</v>
      </c>
      <c r="U190" s="49">
        <v>-0.226964841185887</v>
      </c>
      <c r="V190" s="49">
        <v>13.23</v>
      </c>
      <c r="W190" s="23">
        <v>1.40799239991835</v>
      </c>
      <c r="X190" s="23"/>
      <c r="Y190" s="49"/>
      <c r="Z190" s="49">
        <v>23.31</v>
      </c>
      <c r="AA190" s="49">
        <v>1.26602665522839</v>
      </c>
      <c r="AB190" s="49">
        <v>10.05</v>
      </c>
      <c r="AC190" s="23">
        <v>-0.414835097528917</v>
      </c>
      <c r="AD190" s="23"/>
      <c r="AE190" s="49"/>
      <c r="AF190" s="49">
        <v>346.87</v>
      </c>
      <c r="AG190" s="49">
        <v>0.728532466691103</v>
      </c>
      <c r="AH190" s="54">
        <v>84.75</v>
      </c>
      <c r="AI190" s="23">
        <v>-0.0509354582862383</v>
      </c>
      <c r="AJ190" s="24">
        <v>71</v>
      </c>
      <c r="AK190" s="29">
        <v>1</v>
      </c>
      <c r="AL190" s="29">
        <v>1</v>
      </c>
      <c r="AM190" s="29">
        <v>2</v>
      </c>
      <c r="AN190" s="30"/>
      <c r="AO190" s="29">
        <v>1</v>
      </c>
      <c r="AP190" s="35"/>
      <c r="AQ190" s="35"/>
      <c r="AR190" s="35"/>
      <c r="AS190" s="35"/>
      <c r="AT190" s="35"/>
      <c r="AU190" s="35"/>
      <c r="AV190" s="35"/>
      <c r="AW190" s="35"/>
      <c r="AX190" s="35"/>
      <c r="AY190" s="35"/>
      <c r="AZ190" s="35"/>
      <c r="BA190" s="29">
        <v>1</v>
      </c>
      <c r="BB190" s="29">
        <v>0</v>
      </c>
      <c r="BC190" s="29">
        <v>0</v>
      </c>
      <c r="BD190" s="29">
        <v>0</v>
      </c>
      <c r="BE190" s="24">
        <v>1597</v>
      </c>
      <c r="BF190" s="29">
        <f t="shared" si="2"/>
        <v>0</v>
      </c>
    </row>
    <row r="191" spans="1:58">
      <c r="A191" s="48" t="s">
        <v>314</v>
      </c>
      <c r="B191" s="48" t="s">
        <v>315</v>
      </c>
      <c r="C191" s="15" t="s">
        <v>192</v>
      </c>
      <c r="D191" s="49">
        <v>31.35</v>
      </c>
      <c r="E191" s="49">
        <v>-0.165468183575359</v>
      </c>
      <c r="F191" s="49">
        <v>67.22</v>
      </c>
      <c r="G191" s="49">
        <v>-0.6363831395259</v>
      </c>
      <c r="H191" s="49">
        <v>27.4</v>
      </c>
      <c r="I191" s="49">
        <v>-0.577322154620752</v>
      </c>
      <c r="J191" s="49">
        <v>17.91</v>
      </c>
      <c r="K191" s="49">
        <v>-0.3805080447731</v>
      </c>
      <c r="L191" s="49">
        <v>1.96</v>
      </c>
      <c r="M191" s="49">
        <v>-0.423973192192482</v>
      </c>
      <c r="N191" s="49">
        <v>44.65</v>
      </c>
      <c r="O191" s="49">
        <v>-0.414735988724308</v>
      </c>
      <c r="P191" s="49">
        <v>3.42</v>
      </c>
      <c r="Q191" s="49">
        <v>-0.416671390595417</v>
      </c>
      <c r="R191" s="49">
        <v>9.58</v>
      </c>
      <c r="S191" s="49">
        <v>-0.351336706167923</v>
      </c>
      <c r="T191" s="49">
        <v>11.5</v>
      </c>
      <c r="U191" s="49">
        <v>-0.460201536274748</v>
      </c>
      <c r="V191" s="49">
        <v>8.41</v>
      </c>
      <c r="W191" s="23">
        <v>-0.112320189433214</v>
      </c>
      <c r="X191" s="23"/>
      <c r="Y191" s="49"/>
      <c r="Z191" s="49">
        <v>9.3</v>
      </c>
      <c r="AA191" s="49">
        <v>-0.838010526236589</v>
      </c>
      <c r="AB191" s="49">
        <v>10.49</v>
      </c>
      <c r="AC191" s="23">
        <v>-0.411685873624075</v>
      </c>
      <c r="AD191" s="23"/>
      <c r="AE191" s="49"/>
      <c r="AF191" s="49">
        <v>466.72</v>
      </c>
      <c r="AG191" s="49">
        <v>1.54514228076277</v>
      </c>
      <c r="AH191" s="54">
        <v>29.01</v>
      </c>
      <c r="AI191" s="23">
        <v>-0.212467888028273</v>
      </c>
      <c r="AJ191" s="24">
        <v>73</v>
      </c>
      <c r="AK191" s="29">
        <v>2</v>
      </c>
      <c r="AL191" s="29">
        <v>1</v>
      </c>
      <c r="AM191" s="29">
        <v>1</v>
      </c>
      <c r="AN191" s="30"/>
      <c r="AO191" s="29">
        <v>1</v>
      </c>
      <c r="AP191" s="35"/>
      <c r="AQ191" s="35"/>
      <c r="AR191" s="35"/>
      <c r="AS191" s="35"/>
      <c r="AT191" s="35"/>
      <c r="AU191" s="35"/>
      <c r="AV191" s="35"/>
      <c r="AW191" s="35"/>
      <c r="AX191" s="35"/>
      <c r="AY191" s="35"/>
      <c r="AZ191" s="35"/>
      <c r="BA191" s="29">
        <v>5</v>
      </c>
      <c r="BB191" s="29">
        <v>1</v>
      </c>
      <c r="BC191" s="29">
        <v>1</v>
      </c>
      <c r="BD191" s="29">
        <v>1</v>
      </c>
      <c r="BE191" s="24">
        <v>184</v>
      </c>
      <c r="BF191" s="29">
        <f t="shared" si="2"/>
        <v>1</v>
      </c>
    </row>
    <row r="192" spans="1:58">
      <c r="A192" s="48" t="s">
        <v>316</v>
      </c>
      <c r="B192" s="48" t="s">
        <v>317</v>
      </c>
      <c r="C192" s="15" t="s">
        <v>192</v>
      </c>
      <c r="D192" s="49">
        <v>20.42</v>
      </c>
      <c r="E192" s="49">
        <v>-0.462626878077456</v>
      </c>
      <c r="F192" s="49">
        <v>108.1</v>
      </c>
      <c r="G192" s="49">
        <v>0.929429022296762</v>
      </c>
      <c r="H192" s="49">
        <v>47.93</v>
      </c>
      <c r="I192" s="49">
        <v>-0.149961375996535</v>
      </c>
      <c r="J192" s="49">
        <v>160.81</v>
      </c>
      <c r="K192" s="49">
        <v>1.24212511949904</v>
      </c>
      <c r="L192" s="49">
        <v>5.38</v>
      </c>
      <c r="M192" s="49">
        <v>0.292601217146924</v>
      </c>
      <c r="N192" s="49">
        <v>1369</v>
      </c>
      <c r="O192" s="49">
        <v>1.17056734350176</v>
      </c>
      <c r="P192" s="49">
        <v>42.65</v>
      </c>
      <c r="Q192" s="49">
        <v>0.781383304801629</v>
      </c>
      <c r="R192" s="49">
        <v>61.72</v>
      </c>
      <c r="S192" s="49">
        <v>1.18724788501948</v>
      </c>
      <c r="T192" s="49">
        <v>36.48</v>
      </c>
      <c r="U192" s="49">
        <v>0.39034629486682</v>
      </c>
      <c r="V192" s="49">
        <v>11.51</v>
      </c>
      <c r="W192" s="23">
        <v>0.865474214506589</v>
      </c>
      <c r="X192" s="23"/>
      <c r="Y192" s="49"/>
      <c r="Z192" s="49">
        <v>18.91</v>
      </c>
      <c r="AA192" s="49">
        <v>0.605229824504202</v>
      </c>
      <c r="AB192" s="49">
        <v>239.15</v>
      </c>
      <c r="AC192" s="23">
        <v>1.22490853110616</v>
      </c>
      <c r="AD192" s="23"/>
      <c r="AE192" s="49"/>
      <c r="AF192" s="49">
        <v>843.29</v>
      </c>
      <c r="AG192" s="49">
        <v>4.11093917425435</v>
      </c>
      <c r="AH192" s="54">
        <v>71.95</v>
      </c>
      <c r="AI192" s="23">
        <v>-0.0880293782844092</v>
      </c>
      <c r="AJ192" s="24">
        <v>57</v>
      </c>
      <c r="AK192" s="29">
        <v>2</v>
      </c>
      <c r="AL192" s="29">
        <v>1</v>
      </c>
      <c r="AM192" s="29">
        <v>1</v>
      </c>
      <c r="AN192" s="30"/>
      <c r="AO192" s="29">
        <v>1</v>
      </c>
      <c r="AP192" s="35"/>
      <c r="AQ192" s="35"/>
      <c r="AR192" s="35"/>
      <c r="AS192" s="35"/>
      <c r="AT192" s="35"/>
      <c r="AU192" s="35"/>
      <c r="AV192" s="35"/>
      <c r="AW192" s="35"/>
      <c r="AX192" s="35"/>
      <c r="AY192" s="35"/>
      <c r="AZ192" s="35"/>
      <c r="BA192" s="29">
        <v>3</v>
      </c>
      <c r="BB192" s="29">
        <v>1</v>
      </c>
      <c r="BC192" s="29">
        <v>0</v>
      </c>
      <c r="BD192" s="29">
        <v>0</v>
      </c>
      <c r="BE192" s="24">
        <v>1501</v>
      </c>
      <c r="BF192" s="29">
        <f t="shared" si="2"/>
        <v>0</v>
      </c>
    </row>
    <row r="193" spans="1:58">
      <c r="A193" s="48" t="s">
        <v>318</v>
      </c>
      <c r="B193" s="48" t="s">
        <v>319</v>
      </c>
      <c r="C193" s="15" t="s">
        <v>192</v>
      </c>
      <c r="D193" s="49">
        <v>20.29</v>
      </c>
      <c r="E193" s="49">
        <v>-0.466161244983703</v>
      </c>
      <c r="F193" s="49">
        <v>95.99</v>
      </c>
      <c r="G193" s="49">
        <v>0.465583981208884</v>
      </c>
      <c r="H193" s="49">
        <v>73.35</v>
      </c>
      <c r="I193" s="49">
        <v>0.379191619260533</v>
      </c>
      <c r="J193" s="49">
        <v>14.76</v>
      </c>
      <c r="K193" s="49">
        <v>-0.416276375546069</v>
      </c>
      <c r="L193" s="49">
        <v>4.38</v>
      </c>
      <c r="M193" s="49">
        <v>0.0830765360535305</v>
      </c>
      <c r="N193" s="49">
        <v>108.89</v>
      </c>
      <c r="O193" s="49">
        <v>-0.337837973802117</v>
      </c>
      <c r="P193" s="49">
        <v>5.15</v>
      </c>
      <c r="Q193" s="49">
        <v>-0.363838491716068</v>
      </c>
      <c r="R193" s="49">
        <v>6.48</v>
      </c>
      <c r="S193" s="49">
        <v>-0.442813734029085</v>
      </c>
      <c r="T193" s="49">
        <v>11.37</v>
      </c>
      <c r="U193" s="49">
        <v>-0.464627926108551</v>
      </c>
      <c r="V193" s="49">
        <v>10.26</v>
      </c>
      <c r="W193" s="23">
        <v>0.471202277434088</v>
      </c>
      <c r="X193" s="23"/>
      <c r="Y193" s="49"/>
      <c r="Z193" s="49">
        <v>14.9</v>
      </c>
      <c r="AA193" s="49">
        <v>0.00300362195783664</v>
      </c>
      <c r="AB193" s="49">
        <v>12.14</v>
      </c>
      <c r="AC193" s="23">
        <v>-0.399876283980915</v>
      </c>
      <c r="AD193" s="23"/>
      <c r="AE193" s="49"/>
      <c r="AF193" s="49">
        <v>129.62</v>
      </c>
      <c r="AG193" s="49">
        <v>-0.751721868787152</v>
      </c>
      <c r="AH193" s="54">
        <v>115.38</v>
      </c>
      <c r="AI193" s="23">
        <v>0.0378291330843847</v>
      </c>
      <c r="AJ193" s="24">
        <v>67</v>
      </c>
      <c r="AK193" s="29">
        <v>2</v>
      </c>
      <c r="AL193" s="29">
        <v>1</v>
      </c>
      <c r="AM193" s="29">
        <v>1</v>
      </c>
      <c r="AN193" s="30"/>
      <c r="AO193" s="29">
        <v>1</v>
      </c>
      <c r="AP193" s="35"/>
      <c r="AQ193" s="35"/>
      <c r="AR193" s="35"/>
      <c r="AS193" s="35"/>
      <c r="AT193" s="35"/>
      <c r="AU193" s="35"/>
      <c r="AV193" s="35"/>
      <c r="AW193" s="35"/>
      <c r="AX193" s="35"/>
      <c r="AY193" s="35"/>
      <c r="AZ193" s="35"/>
      <c r="BA193" s="29">
        <v>4</v>
      </c>
      <c r="BB193" s="29">
        <v>0</v>
      </c>
      <c r="BC193" s="29">
        <v>1</v>
      </c>
      <c r="BD193" s="29">
        <v>0</v>
      </c>
      <c r="BE193" s="24">
        <v>1430</v>
      </c>
      <c r="BF193" s="29">
        <f t="shared" si="2"/>
        <v>0</v>
      </c>
    </row>
    <row r="194" spans="1:58">
      <c r="A194" s="48" t="s">
        <v>320</v>
      </c>
      <c r="B194" s="48" t="s">
        <v>321</v>
      </c>
      <c r="C194" s="15" t="s">
        <v>192</v>
      </c>
      <c r="D194" s="49">
        <v>20.59</v>
      </c>
      <c r="E194" s="49">
        <v>-0.458005013661596</v>
      </c>
      <c r="F194" s="49">
        <v>65.7</v>
      </c>
      <c r="G194" s="49">
        <v>-0.694603161198367</v>
      </c>
      <c r="H194" s="49">
        <v>28.31</v>
      </c>
      <c r="I194" s="49">
        <v>-0.558379226781101</v>
      </c>
      <c r="J194" s="49">
        <v>9.76</v>
      </c>
      <c r="K194" s="49">
        <v>-0.473051503757131</v>
      </c>
      <c r="L194" s="49">
        <v>2.32</v>
      </c>
      <c r="M194" s="49">
        <v>-0.348544306998861</v>
      </c>
      <c r="N194" s="49">
        <v>149.9</v>
      </c>
      <c r="O194" s="49">
        <v>-0.288747257862531</v>
      </c>
      <c r="P194" s="49">
        <v>2.08</v>
      </c>
      <c r="Q194" s="49">
        <v>-0.457593982790983</v>
      </c>
      <c r="R194" s="49">
        <v>3.55</v>
      </c>
      <c r="S194" s="49">
        <v>-0.529274279717215</v>
      </c>
      <c r="T194" s="49">
        <v>9</v>
      </c>
      <c r="U194" s="49">
        <v>-0.54532441769404</v>
      </c>
      <c r="V194" s="49">
        <v>7.97</v>
      </c>
      <c r="W194" s="23">
        <v>-0.251103911282735</v>
      </c>
      <c r="X194" s="23"/>
      <c r="Y194" s="49"/>
      <c r="Z194" s="49">
        <v>8.75</v>
      </c>
      <c r="AA194" s="49">
        <v>-0.920610130077113</v>
      </c>
      <c r="AB194" s="49">
        <v>9.04</v>
      </c>
      <c r="AC194" s="23">
        <v>-0.422063997855942</v>
      </c>
      <c r="AD194" s="23"/>
      <c r="AE194" s="49"/>
      <c r="AF194" s="49">
        <v>281.62</v>
      </c>
      <c r="AG194" s="49">
        <v>0.283945146138946</v>
      </c>
      <c r="AH194" s="54">
        <v>93.81</v>
      </c>
      <c r="AI194" s="23">
        <v>-0.024679918037533</v>
      </c>
      <c r="AJ194" s="24">
        <v>36</v>
      </c>
      <c r="AK194" s="29">
        <v>2</v>
      </c>
      <c r="AL194" s="29">
        <v>1</v>
      </c>
      <c r="AM194" s="29">
        <v>1</v>
      </c>
      <c r="AN194" s="30"/>
      <c r="AO194" s="29">
        <v>1</v>
      </c>
      <c r="AP194" s="35"/>
      <c r="AQ194" s="35"/>
      <c r="AR194" s="35"/>
      <c r="AS194" s="35"/>
      <c r="AT194" s="35"/>
      <c r="AU194" s="35"/>
      <c r="AV194" s="35"/>
      <c r="AW194" s="35"/>
      <c r="AX194" s="35"/>
      <c r="AY194" s="35"/>
      <c r="AZ194" s="35"/>
      <c r="BA194" s="29">
        <v>1</v>
      </c>
      <c r="BB194" s="29">
        <v>0</v>
      </c>
      <c r="BC194" s="29">
        <v>0</v>
      </c>
      <c r="BD194" s="29">
        <v>0</v>
      </c>
      <c r="BE194" s="24">
        <v>1533</v>
      </c>
      <c r="BF194" s="29">
        <f t="shared" si="2"/>
        <v>0</v>
      </c>
    </row>
    <row r="195" spans="1:58">
      <c r="A195" s="48" t="s">
        <v>322</v>
      </c>
      <c r="B195" s="48" t="s">
        <v>323</v>
      </c>
      <c r="C195" s="15" t="s">
        <v>192</v>
      </c>
      <c r="D195" s="49">
        <v>17.97</v>
      </c>
      <c r="E195" s="49">
        <v>-0.52923610054133</v>
      </c>
      <c r="F195" s="49">
        <v>71.75</v>
      </c>
      <c r="G195" s="49">
        <v>-0.462872153883614</v>
      </c>
      <c r="H195" s="49">
        <v>40.37</v>
      </c>
      <c r="I195" s="49">
        <v>-0.307333391895175</v>
      </c>
      <c r="J195" s="49">
        <v>8.75</v>
      </c>
      <c r="K195" s="52">
        <v>-0.484520079655765</v>
      </c>
      <c r="L195" s="52">
        <v>0</v>
      </c>
      <c r="M195" s="49">
        <v>-0.834641567135534</v>
      </c>
      <c r="N195" s="49">
        <v>30.63</v>
      </c>
      <c r="O195" s="49">
        <v>-0.431518525604898</v>
      </c>
      <c r="P195" s="49">
        <v>1.84</v>
      </c>
      <c r="Q195" s="49">
        <v>-0.464923402288696</v>
      </c>
      <c r="R195" s="49">
        <v>4.79</v>
      </c>
      <c r="S195" s="49">
        <v>-0.49268346857275</v>
      </c>
      <c r="T195" s="49">
        <v>9.26</v>
      </c>
      <c r="U195" s="49">
        <v>-0.536471638026434</v>
      </c>
      <c r="V195" s="49">
        <v>7.07</v>
      </c>
      <c r="W195" s="23">
        <v>-0.534979705974935</v>
      </c>
      <c r="X195" s="23"/>
      <c r="Y195" s="49"/>
      <c r="Z195" s="49">
        <v>10.82</v>
      </c>
      <c r="AA195" s="49">
        <v>-0.609735257440959</v>
      </c>
      <c r="AB195" s="49">
        <v>6.32</v>
      </c>
      <c r="AC195" s="23">
        <v>-0.441531927449515</v>
      </c>
      <c r="AD195" s="23"/>
      <c r="AE195" s="49"/>
      <c r="AF195" s="49">
        <v>238.18</v>
      </c>
      <c r="AG195" s="49">
        <v>-0.0120375849688813</v>
      </c>
      <c r="AH195" s="54">
        <v>92.79</v>
      </c>
      <c r="AI195" s="23">
        <v>-0.0276358397873872</v>
      </c>
      <c r="AJ195" s="24">
        <v>68</v>
      </c>
      <c r="AK195" s="29">
        <v>1</v>
      </c>
      <c r="AL195" s="29">
        <v>1</v>
      </c>
      <c r="AM195" s="29">
        <v>3</v>
      </c>
      <c r="AN195" s="30"/>
      <c r="AO195" s="29">
        <v>3</v>
      </c>
      <c r="AP195" s="35"/>
      <c r="AQ195" s="35"/>
      <c r="AR195" s="35"/>
      <c r="AS195" s="35"/>
      <c r="AT195" s="35"/>
      <c r="AU195" s="35"/>
      <c r="AV195" s="35"/>
      <c r="AW195" s="35"/>
      <c r="AX195" s="35"/>
      <c r="AY195" s="35"/>
      <c r="AZ195" s="35"/>
      <c r="BA195" s="29">
        <v>4</v>
      </c>
      <c r="BB195" s="29">
        <v>0</v>
      </c>
      <c r="BC195" s="29">
        <v>0</v>
      </c>
      <c r="BD195" s="29">
        <v>0</v>
      </c>
      <c r="BE195" s="24">
        <v>1539</v>
      </c>
      <c r="BF195" s="29">
        <f t="shared" ref="BF195:BF213" si="3">IF(BE195&gt;730,0,IF(BD195=1,1,0))</f>
        <v>0</v>
      </c>
    </row>
    <row r="196" spans="1:58">
      <c r="A196" s="48" t="s">
        <v>324</v>
      </c>
      <c r="B196" s="48" t="s">
        <v>325</v>
      </c>
      <c r="C196" s="15" t="s">
        <v>192</v>
      </c>
      <c r="D196" s="49">
        <v>16.87</v>
      </c>
      <c r="E196" s="49">
        <v>-0.559142282055722</v>
      </c>
      <c r="F196" s="49">
        <v>62.61</v>
      </c>
      <c r="G196" s="49">
        <v>-0.812958336835158</v>
      </c>
      <c r="H196" s="49">
        <v>86.17</v>
      </c>
      <c r="I196" s="49">
        <v>0.646057921353201</v>
      </c>
      <c r="J196" s="49">
        <v>60.86</v>
      </c>
      <c r="K196" s="49">
        <v>0.10719030655992</v>
      </c>
      <c r="L196" s="49">
        <v>2.95</v>
      </c>
      <c r="M196" s="49">
        <v>-0.216543757910022</v>
      </c>
      <c r="N196" s="49">
        <v>310.47</v>
      </c>
      <c r="O196" s="49">
        <v>-0.0965381318342604</v>
      </c>
      <c r="P196" s="49">
        <v>15.36</v>
      </c>
      <c r="Q196" s="49">
        <v>-0.0520327705841827</v>
      </c>
      <c r="R196" s="49">
        <v>27.19</v>
      </c>
      <c r="S196" s="49">
        <v>0.168311829520804</v>
      </c>
      <c r="T196" s="49">
        <v>33.59</v>
      </c>
      <c r="U196" s="49">
        <v>0.291944243946119</v>
      </c>
      <c r="V196" s="49">
        <v>12.8</v>
      </c>
      <c r="W196" s="23">
        <v>1.27236285356541</v>
      </c>
      <c r="X196" s="23"/>
      <c r="Y196" s="49"/>
      <c r="Z196" s="49">
        <v>17.71</v>
      </c>
      <c r="AA196" s="49">
        <v>0.425012507033968</v>
      </c>
      <c r="AB196" s="49">
        <v>59.36</v>
      </c>
      <c r="AC196" s="23">
        <v>-0.0619073003748542</v>
      </c>
      <c r="AD196" s="23"/>
      <c r="AE196" s="49"/>
      <c r="AF196" s="49">
        <v>102.29</v>
      </c>
      <c r="AG196" s="49">
        <v>-0.937937523510378</v>
      </c>
      <c r="AH196" s="54">
        <v>27.57</v>
      </c>
      <c r="AI196" s="23">
        <v>-0.216640954028067</v>
      </c>
      <c r="AJ196" s="24">
        <v>68</v>
      </c>
      <c r="AK196" s="29">
        <v>2</v>
      </c>
      <c r="AL196" s="29">
        <v>1</v>
      </c>
      <c r="AM196" s="29">
        <v>2</v>
      </c>
      <c r="AN196" s="30"/>
      <c r="AO196" s="29">
        <v>1</v>
      </c>
      <c r="AP196" s="35"/>
      <c r="AQ196" s="35"/>
      <c r="AR196" s="35"/>
      <c r="AS196" s="35"/>
      <c r="AT196" s="35"/>
      <c r="AU196" s="35"/>
      <c r="AV196" s="35"/>
      <c r="AW196" s="35"/>
      <c r="AX196" s="35"/>
      <c r="AY196" s="35"/>
      <c r="AZ196" s="35"/>
      <c r="BA196" s="29">
        <v>4</v>
      </c>
      <c r="BB196" s="29">
        <v>0</v>
      </c>
      <c r="BC196" s="29">
        <v>0</v>
      </c>
      <c r="BD196" s="29">
        <v>1</v>
      </c>
      <c r="BE196" s="24">
        <v>822</v>
      </c>
      <c r="BF196" s="29">
        <f t="shared" si="3"/>
        <v>0</v>
      </c>
    </row>
    <row r="197" spans="1:58">
      <c r="A197" s="48" t="s">
        <v>326</v>
      </c>
      <c r="B197" s="48" t="s">
        <v>327</v>
      </c>
      <c r="C197" s="15" t="s">
        <v>192</v>
      </c>
      <c r="D197" s="49">
        <v>125.28</v>
      </c>
      <c r="E197" s="49">
        <v>2.38824784337634</v>
      </c>
      <c r="F197" s="49">
        <v>90.47</v>
      </c>
      <c r="G197" s="49">
        <v>0.254153376187821</v>
      </c>
      <c r="H197" s="49">
        <v>82.67</v>
      </c>
      <c r="I197" s="49">
        <v>0.573200506585312</v>
      </c>
      <c r="J197" s="49">
        <v>281.57</v>
      </c>
      <c r="K197" s="49">
        <v>2.61335801605261</v>
      </c>
      <c r="L197" s="49">
        <v>9.94</v>
      </c>
      <c r="M197" s="49">
        <v>1.2480337629328</v>
      </c>
      <c r="N197" s="49">
        <v>2084</v>
      </c>
      <c r="O197" s="49">
        <v>2.02645278356039</v>
      </c>
      <c r="P197" s="49">
        <v>81.66</v>
      </c>
      <c r="Q197" s="49">
        <v>1.97271936565911</v>
      </c>
      <c r="R197" s="49">
        <v>102.5</v>
      </c>
      <c r="S197" s="49">
        <v>2.39061343217373</v>
      </c>
      <c r="T197" s="49">
        <v>81.45</v>
      </c>
      <c r="U197" s="49">
        <v>1.92153668583705</v>
      </c>
      <c r="V197" s="49">
        <v>18.45</v>
      </c>
      <c r="W197" s="23">
        <v>3.05447200913312</v>
      </c>
      <c r="X197" s="23"/>
      <c r="Y197" s="49"/>
      <c r="Z197" s="49">
        <v>25.21</v>
      </c>
      <c r="AA197" s="49">
        <v>1.55137074122293</v>
      </c>
      <c r="AB197" s="49">
        <v>435.9</v>
      </c>
      <c r="AC197" s="23">
        <v>2.63311262946475</v>
      </c>
      <c r="AD197" s="23"/>
      <c r="AE197" s="49"/>
      <c r="AF197" s="49">
        <v>449.57</v>
      </c>
      <c r="AG197" s="49">
        <v>1.42828906164446</v>
      </c>
      <c r="AH197" s="54">
        <v>167.69</v>
      </c>
      <c r="AI197" s="23">
        <v>0.18942155145191</v>
      </c>
      <c r="AJ197" s="24">
        <v>70</v>
      </c>
      <c r="AK197" s="29">
        <v>2</v>
      </c>
      <c r="AL197" s="29">
        <v>1</v>
      </c>
      <c r="AM197" s="29">
        <v>1</v>
      </c>
      <c r="AN197" s="30"/>
      <c r="AO197" s="29">
        <v>1</v>
      </c>
      <c r="AP197" s="35"/>
      <c r="AQ197" s="35"/>
      <c r="AR197" s="35"/>
      <c r="AS197" s="35"/>
      <c r="AT197" s="35"/>
      <c r="AU197" s="35"/>
      <c r="AV197" s="35"/>
      <c r="AW197" s="35"/>
      <c r="AX197" s="35"/>
      <c r="AY197" s="35"/>
      <c r="AZ197" s="35"/>
      <c r="BA197" s="29">
        <v>1</v>
      </c>
      <c r="BB197" s="29">
        <v>0</v>
      </c>
      <c r="BC197" s="29">
        <v>0</v>
      </c>
      <c r="BD197" s="29">
        <v>0</v>
      </c>
      <c r="BE197" s="24">
        <v>1555</v>
      </c>
      <c r="BF197" s="29">
        <f t="shared" si="3"/>
        <v>0</v>
      </c>
    </row>
    <row r="198" spans="1:58">
      <c r="A198" s="48" t="s">
        <v>328</v>
      </c>
      <c r="B198" s="48" t="s">
        <v>329</v>
      </c>
      <c r="C198" s="15" t="s">
        <v>192</v>
      </c>
      <c r="D198" s="49">
        <v>14.91</v>
      </c>
      <c r="E198" s="49">
        <v>-0.612429660026821</v>
      </c>
      <c r="F198" s="49">
        <v>114.65</v>
      </c>
      <c r="G198" s="49">
        <v>1.18031135253009</v>
      </c>
      <c r="H198" s="49">
        <v>41.52</v>
      </c>
      <c r="I198" s="49">
        <v>-0.283394527042869</v>
      </c>
      <c r="J198" s="49">
        <v>12.09</v>
      </c>
      <c r="K198" s="49">
        <v>-0.446594294010776</v>
      </c>
      <c r="L198" s="49">
        <v>3.22</v>
      </c>
      <c r="M198" s="49">
        <v>-0.159972094014806</v>
      </c>
      <c r="N198" s="49">
        <v>33.99</v>
      </c>
      <c r="O198" s="52">
        <v>-0.427496462557909</v>
      </c>
      <c r="P198" s="52">
        <v>0</v>
      </c>
      <c r="Q198" s="49">
        <v>-0.521115618437831</v>
      </c>
      <c r="R198" s="49">
        <v>3.4</v>
      </c>
      <c r="S198" s="49">
        <v>-0.533700587516949</v>
      </c>
      <c r="T198" s="49">
        <v>6.88</v>
      </c>
      <c r="U198" s="49">
        <v>-0.6175086211376</v>
      </c>
      <c r="V198" s="49">
        <v>8.57</v>
      </c>
      <c r="W198" s="23">
        <v>-0.0618533814879339</v>
      </c>
      <c r="X198" s="23"/>
      <c r="Y198" s="49"/>
      <c r="Z198" s="49">
        <v>9.61</v>
      </c>
      <c r="AA198" s="49">
        <v>-0.791454385890112</v>
      </c>
      <c r="AB198" s="49">
        <v>8.48</v>
      </c>
      <c r="AC198" s="23">
        <v>-0.42607210100756</v>
      </c>
      <c r="AD198" s="23"/>
      <c r="AE198" s="49"/>
      <c r="AF198" s="49">
        <v>176.42</v>
      </c>
      <c r="AG198" s="49">
        <v>-0.432845445770433</v>
      </c>
      <c r="AH198" s="54">
        <v>30.91</v>
      </c>
      <c r="AI198" s="23">
        <v>-0.206961759278545</v>
      </c>
      <c r="AJ198" s="24">
        <v>72</v>
      </c>
      <c r="AK198" s="29">
        <v>1</v>
      </c>
      <c r="AL198" s="29">
        <v>1</v>
      </c>
      <c r="AM198" s="29">
        <v>1</v>
      </c>
      <c r="AN198" s="30"/>
      <c r="AO198" s="29">
        <v>3</v>
      </c>
      <c r="AP198" s="35"/>
      <c r="AQ198" s="35"/>
      <c r="AR198" s="35"/>
      <c r="AS198" s="35"/>
      <c r="AT198" s="35"/>
      <c r="AU198" s="35"/>
      <c r="AV198" s="35"/>
      <c r="AW198" s="35"/>
      <c r="AX198" s="35"/>
      <c r="AY198" s="35"/>
      <c r="AZ198" s="35"/>
      <c r="BA198" s="29">
        <v>3</v>
      </c>
      <c r="BB198" s="29">
        <v>0</v>
      </c>
      <c r="BC198" s="29">
        <v>0</v>
      </c>
      <c r="BD198" s="29">
        <v>0</v>
      </c>
      <c r="BE198" s="24">
        <v>1511</v>
      </c>
      <c r="BF198" s="29">
        <f t="shared" si="3"/>
        <v>0</v>
      </c>
    </row>
    <row r="199" spans="1:58">
      <c r="A199" s="48" t="s">
        <v>330</v>
      </c>
      <c r="B199" s="48" t="s">
        <v>331</v>
      </c>
      <c r="C199" s="15" t="s">
        <v>192</v>
      </c>
      <c r="D199" s="49">
        <v>11.47</v>
      </c>
      <c r="E199" s="49">
        <v>-0.705954445853648</v>
      </c>
      <c r="F199" s="49">
        <v>64.16</v>
      </c>
      <c r="G199" s="49">
        <v>-0.753589235787577</v>
      </c>
      <c r="H199" s="49">
        <v>21.51</v>
      </c>
      <c r="I199" s="49">
        <v>-0.699930775473</v>
      </c>
      <c r="J199" s="49">
        <v>10.06</v>
      </c>
      <c r="K199" s="52">
        <v>-0.469644996064467</v>
      </c>
      <c r="L199" s="52">
        <v>0</v>
      </c>
      <c r="M199" s="49">
        <v>-0.834641567135534</v>
      </c>
      <c r="N199" s="49">
        <v>24.56</v>
      </c>
      <c r="O199" s="49">
        <v>-0.438784574026095</v>
      </c>
      <c r="P199" s="49">
        <v>4.16</v>
      </c>
      <c r="Q199" s="49">
        <v>-0.394072347144135</v>
      </c>
      <c r="R199" s="49">
        <v>8.59</v>
      </c>
      <c r="S199" s="49">
        <v>-0.380550337646165</v>
      </c>
      <c r="T199" s="49">
        <v>9.52</v>
      </c>
      <c r="U199" s="49">
        <v>-0.527618858358828</v>
      </c>
      <c r="V199" s="49">
        <v>7.5</v>
      </c>
      <c r="W199" s="23">
        <v>-0.399350159621995</v>
      </c>
      <c r="X199" s="23"/>
      <c r="Y199" s="49"/>
      <c r="Z199" s="49">
        <v>11.67</v>
      </c>
      <c r="AA199" s="49">
        <v>-0.482081324232877</v>
      </c>
      <c r="AB199" s="49">
        <v>4.94</v>
      </c>
      <c r="AC199" s="23">
        <v>-0.45140903878743</v>
      </c>
      <c r="AD199" s="23"/>
      <c r="AE199" s="49"/>
      <c r="AF199" s="49">
        <v>412.76</v>
      </c>
      <c r="AG199" s="49">
        <v>1.177480490464</v>
      </c>
      <c r="AH199" s="54">
        <v>44.81</v>
      </c>
      <c r="AI199" s="23">
        <v>-0.166680080530531</v>
      </c>
      <c r="AJ199" s="24">
        <v>81</v>
      </c>
      <c r="AK199" s="29">
        <v>1</v>
      </c>
      <c r="AL199" s="29">
        <v>1</v>
      </c>
      <c r="AM199" s="29">
        <v>2</v>
      </c>
      <c r="AN199" s="30"/>
      <c r="AO199" s="29">
        <v>1</v>
      </c>
      <c r="AP199" s="35"/>
      <c r="AQ199" s="35"/>
      <c r="AR199" s="35"/>
      <c r="AS199" s="35"/>
      <c r="AT199" s="35"/>
      <c r="AU199" s="35"/>
      <c r="AV199" s="35"/>
      <c r="AW199" s="35"/>
      <c r="AX199" s="35"/>
      <c r="AY199" s="35"/>
      <c r="AZ199" s="35"/>
      <c r="BA199" s="29">
        <v>4</v>
      </c>
      <c r="BB199" s="29">
        <v>1</v>
      </c>
      <c r="BC199" s="29">
        <v>1</v>
      </c>
      <c r="BD199" s="29">
        <v>1</v>
      </c>
      <c r="BE199" s="24">
        <v>184</v>
      </c>
      <c r="BF199" s="29">
        <f t="shared" si="3"/>
        <v>1</v>
      </c>
    </row>
    <row r="200" spans="1:58">
      <c r="A200" s="48" t="s">
        <v>332</v>
      </c>
      <c r="B200" s="48" t="s">
        <v>333</v>
      </c>
      <c r="C200" s="15" t="s">
        <v>192</v>
      </c>
      <c r="D200" s="49">
        <v>17.42</v>
      </c>
      <c r="E200" s="49">
        <v>-0.544189191298526</v>
      </c>
      <c r="F200" s="49">
        <v>59.48</v>
      </c>
      <c r="G200" s="49">
        <v>-0.932845618305436</v>
      </c>
      <c r="H200" s="49">
        <v>31.48</v>
      </c>
      <c r="I200" s="49">
        <v>-0.492391225405613</v>
      </c>
      <c r="J200" s="49">
        <v>9.06</v>
      </c>
      <c r="K200" s="49">
        <v>-0.481000021706679</v>
      </c>
      <c r="L200" s="49">
        <v>2.53</v>
      </c>
      <c r="M200" s="49">
        <v>-0.304544123969248</v>
      </c>
      <c r="N200" s="49">
        <v>32.65</v>
      </c>
      <c r="O200" s="52">
        <v>-0.429100499606411</v>
      </c>
      <c r="P200" s="52">
        <v>0</v>
      </c>
      <c r="Q200" s="49">
        <v>-0.521115618437831</v>
      </c>
      <c r="R200" s="49">
        <v>3.21</v>
      </c>
      <c r="S200" s="49">
        <v>-0.539307244063278</v>
      </c>
      <c r="T200" s="49">
        <v>7.74</v>
      </c>
      <c r="U200" s="49">
        <v>-0.588226349929364</v>
      </c>
      <c r="V200" s="49">
        <v>8.72</v>
      </c>
      <c r="W200" s="23">
        <v>-0.0145407490392336</v>
      </c>
      <c r="X200" s="23"/>
      <c r="Y200" s="49"/>
      <c r="Z200" s="49">
        <v>16.97</v>
      </c>
      <c r="AA200" s="49">
        <v>0.31387849459399</v>
      </c>
      <c r="AB200" s="49">
        <v>7.07</v>
      </c>
      <c r="AC200" s="23">
        <v>-0.436163932157169</v>
      </c>
      <c r="AD200" s="23"/>
      <c r="AE200" s="49"/>
      <c r="AF200" s="49">
        <v>254.48</v>
      </c>
      <c r="AG200" s="49">
        <v>0.0990240751843778</v>
      </c>
      <c r="AH200" s="54">
        <v>145.52</v>
      </c>
      <c r="AI200" s="23">
        <v>0.125173722830078</v>
      </c>
      <c r="AJ200" s="24">
        <v>59</v>
      </c>
      <c r="AK200" s="29">
        <v>1</v>
      </c>
      <c r="AL200" s="29">
        <v>1</v>
      </c>
      <c r="AM200" s="29">
        <v>2</v>
      </c>
      <c r="AN200" s="30"/>
      <c r="AO200" s="29">
        <v>1</v>
      </c>
      <c r="AP200" s="35"/>
      <c r="AQ200" s="35"/>
      <c r="AR200" s="35"/>
      <c r="AS200" s="35"/>
      <c r="AT200" s="35"/>
      <c r="AU200" s="35"/>
      <c r="AV200" s="35"/>
      <c r="AW200" s="35"/>
      <c r="AX200" s="35"/>
      <c r="AY200" s="35"/>
      <c r="AZ200" s="35"/>
      <c r="BA200" s="29">
        <v>1</v>
      </c>
      <c r="BB200" s="29">
        <v>0</v>
      </c>
      <c r="BC200" s="29">
        <v>0</v>
      </c>
      <c r="BD200" s="29">
        <v>1</v>
      </c>
      <c r="BE200" s="24">
        <v>334</v>
      </c>
      <c r="BF200" s="29">
        <f t="shared" si="3"/>
        <v>1</v>
      </c>
    </row>
    <row r="201" spans="1:58">
      <c r="A201" s="48" t="s">
        <v>334</v>
      </c>
      <c r="B201" s="48" t="s">
        <v>335</v>
      </c>
      <c r="C201" s="15" t="s">
        <v>192</v>
      </c>
      <c r="D201" s="49">
        <v>57.33</v>
      </c>
      <c r="E201" s="49">
        <v>0.540861448919106</v>
      </c>
      <c r="F201" s="49">
        <v>80.55</v>
      </c>
      <c r="G201" s="49">
        <v>-0.1258088705167</v>
      </c>
      <c r="H201" s="49">
        <v>39.69</v>
      </c>
      <c r="I201" s="49">
        <v>-0.321488546764365</v>
      </c>
      <c r="J201" s="49">
        <v>33.06</v>
      </c>
      <c r="K201" s="49">
        <v>-0.208479406293583</v>
      </c>
      <c r="L201" s="49">
        <v>3.18</v>
      </c>
      <c r="M201" s="49">
        <v>-0.168353081258542</v>
      </c>
      <c r="N201" s="49">
        <v>172.49</v>
      </c>
      <c r="O201" s="49">
        <v>-0.261706066126973</v>
      </c>
      <c r="P201" s="49">
        <v>8.79</v>
      </c>
      <c r="Q201" s="49">
        <v>-0.252675629334083</v>
      </c>
      <c r="R201" s="49">
        <v>11.69</v>
      </c>
      <c r="S201" s="49">
        <v>-0.289073309785004</v>
      </c>
      <c r="T201" s="49">
        <v>17.56</v>
      </c>
      <c r="U201" s="49">
        <v>-0.253863671714384</v>
      </c>
      <c r="V201" s="49">
        <v>9.97</v>
      </c>
      <c r="W201" s="23">
        <v>0.379731188033268</v>
      </c>
      <c r="X201" s="23"/>
      <c r="Y201" s="49"/>
      <c r="Z201" s="49">
        <v>15.02</v>
      </c>
      <c r="AA201" s="49">
        <v>0.0210253537048599</v>
      </c>
      <c r="AB201" s="49">
        <v>30.43</v>
      </c>
      <c r="AC201" s="23">
        <v>-0.268968772118254</v>
      </c>
      <c r="AD201" s="23"/>
      <c r="AE201" s="49"/>
      <c r="AF201" s="49">
        <v>273.83</v>
      </c>
      <c r="AG201" s="49">
        <v>0.230867211623983</v>
      </c>
      <c r="AH201" s="54">
        <v>137.78</v>
      </c>
      <c r="AI201" s="23">
        <v>0.102743493081184</v>
      </c>
      <c r="AJ201" s="24">
        <v>70</v>
      </c>
      <c r="AK201" s="29">
        <v>1</v>
      </c>
      <c r="AL201" s="29">
        <v>1</v>
      </c>
      <c r="AM201" s="29">
        <v>2</v>
      </c>
      <c r="AN201" s="30"/>
      <c r="AO201" s="29">
        <v>1</v>
      </c>
      <c r="AP201" s="35"/>
      <c r="AQ201" s="35"/>
      <c r="AR201" s="35"/>
      <c r="AS201" s="35"/>
      <c r="AT201" s="35"/>
      <c r="AU201" s="35"/>
      <c r="AV201" s="35"/>
      <c r="AW201" s="35"/>
      <c r="AX201" s="35"/>
      <c r="AY201" s="35"/>
      <c r="AZ201" s="35"/>
      <c r="BA201" s="29">
        <v>2</v>
      </c>
      <c r="BB201" s="29">
        <v>0</v>
      </c>
      <c r="BC201" s="29">
        <v>1</v>
      </c>
      <c r="BD201" s="29">
        <v>0</v>
      </c>
      <c r="BE201" s="24">
        <v>1518</v>
      </c>
      <c r="BF201" s="29">
        <f t="shared" si="3"/>
        <v>0</v>
      </c>
    </row>
    <row r="202" spans="1:58">
      <c r="A202" s="48" t="s">
        <v>336</v>
      </c>
      <c r="B202" s="48" t="s">
        <v>337</v>
      </c>
      <c r="C202" s="15" t="s">
        <v>192</v>
      </c>
      <c r="D202" s="49">
        <v>18.94</v>
      </c>
      <c r="E202" s="49">
        <v>-0.502864285933184</v>
      </c>
      <c r="F202" s="49">
        <v>87.67</v>
      </c>
      <c r="G202" s="49">
        <v>0.146905967843803</v>
      </c>
      <c r="H202" s="49">
        <v>60.37</v>
      </c>
      <c r="I202" s="49">
        <v>0.108994692492762</v>
      </c>
      <c r="J202" s="49">
        <v>17.56</v>
      </c>
      <c r="K202" s="49">
        <v>-0.384482303747874</v>
      </c>
      <c r="L202" s="49">
        <v>4.55</v>
      </c>
      <c r="M202" s="49">
        <v>0.118695731839407</v>
      </c>
      <c r="N202" s="49">
        <v>83.67</v>
      </c>
      <c r="O202" s="49">
        <v>-0.368027387506004</v>
      </c>
      <c r="P202" s="49">
        <v>4.57</v>
      </c>
      <c r="Q202" s="49">
        <v>-0.381551255502208</v>
      </c>
      <c r="R202" s="49">
        <v>3.95</v>
      </c>
      <c r="S202" s="49">
        <v>-0.517470792251259</v>
      </c>
      <c r="T202" s="49">
        <v>12.29</v>
      </c>
      <c r="U202" s="49">
        <v>-0.433302705746252</v>
      </c>
      <c r="V202" s="49">
        <v>9.84</v>
      </c>
      <c r="W202" s="23">
        <v>0.338726906577727</v>
      </c>
      <c r="X202" s="23"/>
      <c r="Y202" s="49"/>
      <c r="Z202" s="49">
        <v>18.93</v>
      </c>
      <c r="AA202" s="49">
        <v>0.608233446462039</v>
      </c>
      <c r="AB202" s="49">
        <v>11.04</v>
      </c>
      <c r="AC202" s="23">
        <v>-0.407749343743021</v>
      </c>
      <c r="AD202" s="23"/>
      <c r="AE202" s="49"/>
      <c r="AF202" s="49">
        <v>213.12</v>
      </c>
      <c r="AG202" s="49">
        <v>-0.182786370456039</v>
      </c>
      <c r="AH202" s="54">
        <v>40.94</v>
      </c>
      <c r="AI202" s="23">
        <v>-0.177895195404978</v>
      </c>
      <c r="AJ202" s="24">
        <v>71</v>
      </c>
      <c r="AK202" s="29">
        <v>1</v>
      </c>
      <c r="AL202" s="29">
        <v>1</v>
      </c>
      <c r="AM202" s="29">
        <v>1</v>
      </c>
      <c r="AN202" s="30"/>
      <c r="AO202" s="29">
        <v>1</v>
      </c>
      <c r="AP202" s="35"/>
      <c r="AQ202" s="35"/>
      <c r="AR202" s="35"/>
      <c r="AS202" s="35"/>
      <c r="AT202" s="35"/>
      <c r="AU202" s="35"/>
      <c r="AV202" s="35"/>
      <c r="AW202" s="35"/>
      <c r="AX202" s="35"/>
      <c r="AY202" s="35"/>
      <c r="AZ202" s="35"/>
      <c r="BA202" s="29">
        <v>4</v>
      </c>
      <c r="BB202" s="29">
        <v>0</v>
      </c>
      <c r="BC202" s="29">
        <v>0</v>
      </c>
      <c r="BD202" s="29">
        <v>0</v>
      </c>
      <c r="BE202" s="24">
        <v>1428</v>
      </c>
      <c r="BF202" s="29">
        <f t="shared" si="3"/>
        <v>0</v>
      </c>
    </row>
    <row r="203" spans="1:58">
      <c r="A203" s="48" t="s">
        <v>338</v>
      </c>
      <c r="B203" s="48" t="s">
        <v>339</v>
      </c>
      <c r="C203" s="15" t="s">
        <v>192</v>
      </c>
      <c r="D203" s="49">
        <v>20.01</v>
      </c>
      <c r="E203" s="49">
        <v>-0.473773727551003</v>
      </c>
      <c r="F203" s="49">
        <v>86.26</v>
      </c>
      <c r="G203" s="49">
        <v>0.0928992372134223</v>
      </c>
      <c r="H203" s="49">
        <v>44.72</v>
      </c>
      <c r="I203" s="49">
        <v>-0.216782033540799</v>
      </c>
      <c r="J203" s="49">
        <v>15.3</v>
      </c>
      <c r="K203" s="49">
        <v>-0.410144661699274</v>
      </c>
      <c r="L203" s="49">
        <v>4.65</v>
      </c>
      <c r="M203" s="49">
        <v>0.139648199948747</v>
      </c>
      <c r="N203" s="49">
        <v>98.89</v>
      </c>
      <c r="O203" s="49">
        <v>-0.349808399537203</v>
      </c>
      <c r="P203" s="49">
        <v>4.16</v>
      </c>
      <c r="Q203" s="49">
        <v>-0.394072347144135</v>
      </c>
      <c r="R203" s="49">
        <v>12.11</v>
      </c>
      <c r="S203" s="49">
        <v>-0.276679647945749</v>
      </c>
      <c r="T203" s="49">
        <v>12.43</v>
      </c>
      <c r="U203" s="49">
        <v>-0.428535824386771</v>
      </c>
      <c r="V203" s="49">
        <v>8.92</v>
      </c>
      <c r="W203" s="23">
        <v>0.0485427608923664</v>
      </c>
      <c r="X203" s="23"/>
      <c r="Y203" s="49"/>
      <c r="Z203" s="49">
        <v>14.1</v>
      </c>
      <c r="AA203" s="49">
        <v>-0.117141256355653</v>
      </c>
      <c r="AB203" s="49">
        <v>9.38</v>
      </c>
      <c r="AC203" s="23">
        <v>-0.419630506656746</v>
      </c>
      <c r="AD203" s="23"/>
      <c r="AE203" s="49"/>
      <c r="AF203" s="49">
        <v>217.61</v>
      </c>
      <c r="AG203" s="49">
        <v>-0.152193311923025</v>
      </c>
      <c r="AH203" s="54">
        <v>65.96</v>
      </c>
      <c r="AI203" s="23">
        <v>-0.105388173658553</v>
      </c>
      <c r="AJ203" s="24">
        <v>40</v>
      </c>
      <c r="AK203" s="29">
        <v>1</v>
      </c>
      <c r="AL203" s="29">
        <v>1</v>
      </c>
      <c r="AM203" s="29">
        <v>3</v>
      </c>
      <c r="AN203" s="30"/>
      <c r="AO203" s="29">
        <v>1</v>
      </c>
      <c r="AP203" s="35"/>
      <c r="AQ203" s="35"/>
      <c r="AR203" s="35"/>
      <c r="AS203" s="35"/>
      <c r="AT203" s="35"/>
      <c r="AU203" s="35"/>
      <c r="AV203" s="35"/>
      <c r="AW203" s="35"/>
      <c r="AX203" s="35"/>
      <c r="AY203" s="35"/>
      <c r="AZ203" s="35"/>
      <c r="BA203" s="29">
        <v>4</v>
      </c>
      <c r="BB203" s="29">
        <v>0</v>
      </c>
      <c r="BC203" s="29">
        <v>1</v>
      </c>
      <c r="BD203" s="29">
        <v>1</v>
      </c>
      <c r="BE203" s="24">
        <v>1219</v>
      </c>
      <c r="BF203" s="29">
        <f t="shared" si="3"/>
        <v>0</v>
      </c>
    </row>
    <row r="204" spans="1:58">
      <c r="A204" s="48" t="s">
        <v>340</v>
      </c>
      <c r="B204" s="48" t="s">
        <v>341</v>
      </c>
      <c r="C204" s="15" t="s">
        <v>192</v>
      </c>
      <c r="D204" s="49">
        <v>16.46</v>
      </c>
      <c r="E204" s="49">
        <v>-0.570289131529269</v>
      </c>
      <c r="F204" s="49">
        <v>73.98</v>
      </c>
      <c r="G204" s="49">
        <v>-0.377457253666771</v>
      </c>
      <c r="H204" s="49">
        <v>43.8</v>
      </c>
      <c r="I204" s="49">
        <v>-0.235933125422644</v>
      </c>
      <c r="J204" s="49">
        <v>11.99</v>
      </c>
      <c r="K204" s="49">
        <v>-0.447729796574997</v>
      </c>
      <c r="L204" s="49">
        <v>2.67</v>
      </c>
      <c r="M204" s="49">
        <v>-0.275210668616173</v>
      </c>
      <c r="N204" s="49">
        <v>79.44</v>
      </c>
      <c r="O204" s="49">
        <v>-0.373090877591945</v>
      </c>
      <c r="P204" s="49">
        <v>2.33</v>
      </c>
      <c r="Q204" s="49">
        <v>-0.449959170814198</v>
      </c>
      <c r="R204" s="49">
        <v>8.97</v>
      </c>
      <c r="S204" s="49">
        <v>-0.369337024553507</v>
      </c>
      <c r="T204" s="49">
        <v>8.2</v>
      </c>
      <c r="U204" s="49">
        <v>-0.572563739748214</v>
      </c>
      <c r="V204" s="49">
        <v>9.24</v>
      </c>
      <c r="W204" s="23">
        <v>0.149476376782927</v>
      </c>
      <c r="X204" s="23"/>
      <c r="Y204" s="49"/>
      <c r="Z204" s="49">
        <v>16.41</v>
      </c>
      <c r="AA204" s="49">
        <v>0.229777079774548</v>
      </c>
      <c r="AB204" s="49">
        <v>8.59</v>
      </c>
      <c r="AC204" s="23">
        <v>-0.425284795031349</v>
      </c>
      <c r="AD204" s="23"/>
      <c r="AE204" s="49"/>
      <c r="AF204" s="49">
        <v>342.79</v>
      </c>
      <c r="AG204" s="49">
        <v>0.700732983658876</v>
      </c>
      <c r="AH204" s="54">
        <v>159.13</v>
      </c>
      <c r="AI204" s="23">
        <v>0.164614992453133</v>
      </c>
      <c r="AJ204" s="24">
        <v>58</v>
      </c>
      <c r="AK204" s="29">
        <v>2</v>
      </c>
      <c r="AL204" s="29">
        <v>1</v>
      </c>
      <c r="AM204" s="29">
        <v>2</v>
      </c>
      <c r="AN204" s="30"/>
      <c r="AO204" s="29">
        <v>3</v>
      </c>
      <c r="AP204" s="35"/>
      <c r="AQ204" s="35"/>
      <c r="AR204" s="35"/>
      <c r="AS204" s="35"/>
      <c r="AT204" s="35"/>
      <c r="AU204" s="35"/>
      <c r="AV204" s="35"/>
      <c r="AW204" s="35"/>
      <c r="AX204" s="35"/>
      <c r="AY204" s="35"/>
      <c r="AZ204" s="35"/>
      <c r="BA204" s="29">
        <v>2</v>
      </c>
      <c r="BB204" s="29">
        <v>1</v>
      </c>
      <c r="BC204" s="29">
        <v>0</v>
      </c>
      <c r="BD204" s="29">
        <v>0</v>
      </c>
      <c r="BE204" s="24">
        <v>1463</v>
      </c>
      <c r="BF204" s="29">
        <f t="shared" si="3"/>
        <v>0</v>
      </c>
    </row>
    <row r="205" spans="1:58">
      <c r="A205" s="48" t="s">
        <v>342</v>
      </c>
      <c r="B205" s="48" t="s">
        <v>343</v>
      </c>
      <c r="C205" s="15" t="s">
        <v>192</v>
      </c>
      <c r="D205" s="49">
        <v>19.87</v>
      </c>
      <c r="E205" s="49">
        <v>-0.477579968834652</v>
      </c>
      <c r="F205" s="49">
        <v>73.23</v>
      </c>
      <c r="G205" s="49">
        <v>-0.406184238044633</v>
      </c>
      <c r="H205" s="49">
        <v>57.6</v>
      </c>
      <c r="I205" s="49">
        <v>0.0513332528050328</v>
      </c>
      <c r="J205" s="49">
        <v>28.2</v>
      </c>
      <c r="K205" s="49">
        <v>-0.263664830914735</v>
      </c>
      <c r="L205" s="49">
        <v>7.2</v>
      </c>
      <c r="M205" s="49">
        <v>0.673936136736901</v>
      </c>
      <c r="N205" s="49">
        <v>46.64</v>
      </c>
      <c r="O205" s="49">
        <v>-0.412353874003026</v>
      </c>
      <c r="P205" s="49">
        <v>2.54</v>
      </c>
      <c r="Q205" s="49">
        <v>-0.443545928753699</v>
      </c>
      <c r="R205" s="49">
        <v>4.99</v>
      </c>
      <c r="S205" s="49">
        <v>-0.486781724839772</v>
      </c>
      <c r="T205" s="49">
        <v>10.84</v>
      </c>
      <c r="U205" s="49">
        <v>-0.482673976969441</v>
      </c>
      <c r="V205" s="49">
        <v>10.13</v>
      </c>
      <c r="W205" s="23">
        <v>0.430197995978548</v>
      </c>
      <c r="X205" s="23"/>
      <c r="Y205" s="49"/>
      <c r="Z205" s="49">
        <v>9.97</v>
      </c>
      <c r="AA205" s="49">
        <v>-0.737389190649042</v>
      </c>
      <c r="AB205" s="49">
        <v>10.27</v>
      </c>
      <c r="AC205" s="23">
        <v>-0.413260485576496</v>
      </c>
      <c r="AD205" s="23"/>
      <c r="AE205" s="49"/>
      <c r="AF205" s="49">
        <v>234.2</v>
      </c>
      <c r="AG205" s="49">
        <v>-0.0391557081228674</v>
      </c>
      <c r="AH205" s="54">
        <v>43.68</v>
      </c>
      <c r="AI205" s="23">
        <v>-0.169954778155369</v>
      </c>
      <c r="AJ205" s="24">
        <v>26</v>
      </c>
      <c r="AK205" s="29">
        <v>1</v>
      </c>
      <c r="AL205" s="29">
        <v>1</v>
      </c>
      <c r="AM205" s="29">
        <v>2</v>
      </c>
      <c r="AN205" s="30"/>
      <c r="AO205" s="29">
        <v>3</v>
      </c>
      <c r="AP205" s="35"/>
      <c r="AQ205" s="35"/>
      <c r="AR205" s="35"/>
      <c r="AS205" s="35"/>
      <c r="AT205" s="35"/>
      <c r="AU205" s="35"/>
      <c r="AV205" s="35"/>
      <c r="AW205" s="35"/>
      <c r="AX205" s="35"/>
      <c r="AY205" s="35"/>
      <c r="AZ205" s="35"/>
      <c r="BA205" s="29">
        <v>1</v>
      </c>
      <c r="BB205" s="29">
        <v>0</v>
      </c>
      <c r="BC205" s="29">
        <v>0</v>
      </c>
      <c r="BD205" s="29">
        <v>0</v>
      </c>
      <c r="BE205" s="24">
        <v>1505</v>
      </c>
      <c r="BF205" s="29">
        <f t="shared" si="3"/>
        <v>0</v>
      </c>
    </row>
    <row r="206" spans="1:58">
      <c r="A206" s="48" t="s">
        <v>344</v>
      </c>
      <c r="B206" s="48" t="s">
        <v>345</v>
      </c>
      <c r="C206" s="15" t="s">
        <v>192</v>
      </c>
      <c r="D206" s="49">
        <v>24.98</v>
      </c>
      <c r="E206" s="49">
        <v>-0.33865216198143</v>
      </c>
      <c r="F206" s="49">
        <v>68.74</v>
      </c>
      <c r="G206" s="49">
        <v>-0.578163117853434</v>
      </c>
      <c r="H206" s="49">
        <v>55.29</v>
      </c>
      <c r="I206" s="49">
        <v>0.00324735905822603</v>
      </c>
      <c r="J206" s="49">
        <v>11.42</v>
      </c>
      <c r="K206" s="49">
        <v>-0.454202161191058</v>
      </c>
      <c r="L206" s="49">
        <v>3.02</v>
      </c>
      <c r="M206" s="49">
        <v>-0.201877030233485</v>
      </c>
      <c r="N206" s="49">
        <v>50.61</v>
      </c>
      <c r="O206" s="49">
        <v>-0.407601614986197</v>
      </c>
      <c r="P206" s="49">
        <v>2.01</v>
      </c>
      <c r="Q206" s="49">
        <v>-0.459731730144483</v>
      </c>
      <c r="R206" s="49">
        <v>3.51</v>
      </c>
      <c r="S206" s="49">
        <v>-0.530454628463811</v>
      </c>
      <c r="T206" s="49">
        <v>8.07</v>
      </c>
      <c r="U206" s="49">
        <v>-0.576990129582017</v>
      </c>
      <c r="V206" s="49">
        <v>8.81</v>
      </c>
      <c r="W206" s="23">
        <v>0.0138468304299865</v>
      </c>
      <c r="X206" s="23"/>
      <c r="Y206" s="49"/>
      <c r="Z206" s="49">
        <v>10.09</v>
      </c>
      <c r="AA206" s="49">
        <v>-0.719367458902018</v>
      </c>
      <c r="AB206" s="49">
        <v>8.48</v>
      </c>
      <c r="AC206" s="23">
        <v>-0.42607210100756</v>
      </c>
      <c r="AD206" s="23"/>
      <c r="AE206" s="49"/>
      <c r="AF206" s="49">
        <v>269.75</v>
      </c>
      <c r="AG206" s="49">
        <v>0.203067728591756</v>
      </c>
      <c r="AH206" s="54">
        <v>18.76</v>
      </c>
      <c r="AI206" s="23">
        <v>-0.242172003651808</v>
      </c>
      <c r="AJ206" s="24">
        <v>65</v>
      </c>
      <c r="AK206" s="29">
        <v>1</v>
      </c>
      <c r="AL206" s="29">
        <v>1</v>
      </c>
      <c r="AM206" s="29">
        <v>2</v>
      </c>
      <c r="AN206" s="30"/>
      <c r="AO206" s="29">
        <v>3</v>
      </c>
      <c r="AP206" s="35"/>
      <c r="AQ206" s="35"/>
      <c r="AR206" s="35"/>
      <c r="AS206" s="35"/>
      <c r="AT206" s="35"/>
      <c r="AU206" s="35"/>
      <c r="AV206" s="35"/>
      <c r="AW206" s="35"/>
      <c r="AX206" s="35"/>
      <c r="AY206" s="35"/>
      <c r="AZ206" s="35"/>
      <c r="BA206" s="29">
        <v>1</v>
      </c>
      <c r="BB206" s="29">
        <v>0</v>
      </c>
      <c r="BC206" s="29">
        <v>0</v>
      </c>
      <c r="BD206" s="29">
        <v>0</v>
      </c>
      <c r="BE206" s="24">
        <v>1309</v>
      </c>
      <c r="BF206" s="29">
        <f t="shared" si="3"/>
        <v>0</v>
      </c>
    </row>
    <row r="207" spans="1:58">
      <c r="A207" s="48" t="s">
        <v>346</v>
      </c>
      <c r="B207" s="48" t="s">
        <v>347</v>
      </c>
      <c r="C207" s="15" t="s">
        <v>192</v>
      </c>
      <c r="D207" s="49">
        <v>15.53</v>
      </c>
      <c r="E207" s="49">
        <v>-0.5955734486278</v>
      </c>
      <c r="F207" s="49">
        <v>98.72</v>
      </c>
      <c r="G207" s="49">
        <v>0.570150204344302</v>
      </c>
      <c r="H207" s="49">
        <v>34.9</v>
      </c>
      <c r="I207" s="49">
        <v>-0.421199122975276</v>
      </c>
      <c r="J207" s="49">
        <v>14.76</v>
      </c>
      <c r="K207" s="49">
        <v>-0.416276375546069</v>
      </c>
      <c r="L207" s="49">
        <v>2.85</v>
      </c>
      <c r="M207" s="49">
        <v>-0.237496226019362</v>
      </c>
      <c r="N207" s="49">
        <v>46.64</v>
      </c>
      <c r="O207" s="49">
        <v>-0.412353874003026</v>
      </c>
      <c r="P207" s="49">
        <v>2.58</v>
      </c>
      <c r="Q207" s="49">
        <v>-0.442324358837414</v>
      </c>
      <c r="R207" s="49">
        <v>4.69</v>
      </c>
      <c r="S207" s="49">
        <v>-0.495634340439239</v>
      </c>
      <c r="T207" s="49">
        <v>9.39</v>
      </c>
      <c r="U207" s="49">
        <v>-0.532045248192631</v>
      </c>
      <c r="V207" s="49">
        <v>9.24</v>
      </c>
      <c r="W207" s="23">
        <v>0.149476376782927</v>
      </c>
      <c r="X207" s="23"/>
      <c r="Y207" s="49"/>
      <c r="Z207" s="49">
        <v>12.69</v>
      </c>
      <c r="AA207" s="49">
        <v>-0.328896604383178</v>
      </c>
      <c r="AB207" s="49">
        <v>10.82</v>
      </c>
      <c r="AC207" s="23">
        <v>-0.409323955695443</v>
      </c>
      <c r="AD207" s="23"/>
      <c r="AE207" s="49"/>
      <c r="AF207" s="49">
        <v>138.55</v>
      </c>
      <c r="AG207" s="49">
        <v>-0.690876431660244</v>
      </c>
      <c r="AH207" s="54">
        <v>108.79</v>
      </c>
      <c r="AI207" s="23">
        <v>0.0187315602103264</v>
      </c>
      <c r="AJ207" s="24">
        <v>70</v>
      </c>
      <c r="AK207" s="29">
        <v>2</v>
      </c>
      <c r="AL207" s="29">
        <v>1</v>
      </c>
      <c r="AM207" s="29">
        <v>1</v>
      </c>
      <c r="AN207" s="30"/>
      <c r="AO207" s="29">
        <v>3</v>
      </c>
      <c r="AP207" s="35"/>
      <c r="AQ207" s="35"/>
      <c r="AR207" s="35"/>
      <c r="AS207" s="35"/>
      <c r="AT207" s="35"/>
      <c r="AU207" s="35"/>
      <c r="AV207" s="35"/>
      <c r="AW207" s="35"/>
      <c r="AX207" s="35"/>
      <c r="AY207" s="35"/>
      <c r="AZ207" s="35"/>
      <c r="BA207" s="29">
        <v>3</v>
      </c>
      <c r="BB207" s="29">
        <v>1</v>
      </c>
      <c r="BC207" s="29">
        <v>1</v>
      </c>
      <c r="BD207" s="29">
        <v>0</v>
      </c>
      <c r="BE207" s="24">
        <v>1460</v>
      </c>
      <c r="BF207" s="29">
        <f t="shared" si="3"/>
        <v>0</v>
      </c>
    </row>
    <row r="208" spans="1:58">
      <c r="A208" s="48" t="s">
        <v>348</v>
      </c>
      <c r="B208" s="48" t="s">
        <v>349</v>
      </c>
      <c r="C208" s="15" t="s">
        <v>192</v>
      </c>
      <c r="D208" s="49">
        <v>18.12</v>
      </c>
      <c r="E208" s="49">
        <v>-0.525157984880277</v>
      </c>
      <c r="F208" s="49">
        <v>100.08</v>
      </c>
      <c r="G208" s="49">
        <v>0.622241802682825</v>
      </c>
      <c r="H208" s="49">
        <v>45.64</v>
      </c>
      <c r="I208" s="49">
        <v>-0.197630941658954</v>
      </c>
      <c r="J208" s="49">
        <v>22.83</v>
      </c>
      <c r="K208" s="49">
        <v>-0.324641318613415</v>
      </c>
      <c r="L208" s="49">
        <v>3.22</v>
      </c>
      <c r="M208" s="49">
        <v>-0.159972094014806</v>
      </c>
      <c r="N208" s="49">
        <v>113.08</v>
      </c>
      <c r="O208" s="49">
        <v>-0.332822365419117</v>
      </c>
      <c r="P208" s="49">
        <v>5.52</v>
      </c>
      <c r="Q208" s="49">
        <v>-0.352538969990426</v>
      </c>
      <c r="R208" s="49">
        <v>7.97</v>
      </c>
      <c r="S208" s="49">
        <v>-0.398845743218397</v>
      </c>
      <c r="T208" s="49">
        <v>10.84</v>
      </c>
      <c r="U208" s="49">
        <v>-0.482673976969441</v>
      </c>
      <c r="V208" s="49">
        <v>9.52</v>
      </c>
      <c r="W208" s="23">
        <v>0.237793290687167</v>
      </c>
      <c r="X208" s="23"/>
      <c r="Y208" s="49"/>
      <c r="Z208" s="49">
        <v>13.77</v>
      </c>
      <c r="AA208" s="49">
        <v>-0.166701018659967</v>
      </c>
      <c r="AB208" s="49">
        <v>21.11</v>
      </c>
      <c r="AC208" s="23">
        <v>-0.335675060284465</v>
      </c>
      <c r="AD208" s="23"/>
      <c r="AE208" s="49"/>
      <c r="AF208" s="49">
        <v>258.33</v>
      </c>
      <c r="AG208" s="49">
        <v>0.125256430496651</v>
      </c>
      <c r="AH208" s="54">
        <v>35.15</v>
      </c>
      <c r="AI208" s="23">
        <v>-0.19467439827915</v>
      </c>
      <c r="AJ208" s="24">
        <v>53</v>
      </c>
      <c r="AK208" s="29">
        <v>2</v>
      </c>
      <c r="AL208" s="29">
        <v>1</v>
      </c>
      <c r="AM208" s="29">
        <v>2</v>
      </c>
      <c r="AN208" s="30"/>
      <c r="AO208" s="29">
        <v>1</v>
      </c>
      <c r="AP208" s="35"/>
      <c r="AQ208" s="35"/>
      <c r="AR208" s="35"/>
      <c r="AS208" s="35"/>
      <c r="AT208" s="35"/>
      <c r="AU208" s="35"/>
      <c r="AV208" s="35"/>
      <c r="AW208" s="35"/>
      <c r="AX208" s="35"/>
      <c r="AY208" s="35"/>
      <c r="AZ208" s="35"/>
      <c r="BA208" s="29">
        <v>1</v>
      </c>
      <c r="BB208" s="29">
        <v>0</v>
      </c>
      <c r="BC208" s="29">
        <v>0</v>
      </c>
      <c r="BD208" s="29">
        <v>0</v>
      </c>
      <c r="BE208" s="24">
        <v>1470</v>
      </c>
      <c r="BF208" s="29">
        <f t="shared" si="3"/>
        <v>0</v>
      </c>
    </row>
    <row r="209" spans="1:58">
      <c r="A209" s="48" t="s">
        <v>350</v>
      </c>
      <c r="B209" s="48" t="s">
        <v>351</v>
      </c>
      <c r="C209" s="15" t="s">
        <v>192</v>
      </c>
      <c r="D209" s="49">
        <v>61.9</v>
      </c>
      <c r="E209" s="49">
        <v>0.665108039392536</v>
      </c>
      <c r="F209" s="49">
        <v>122.36</v>
      </c>
      <c r="G209" s="49">
        <v>1.47562475193451</v>
      </c>
      <c r="H209" s="49">
        <v>103.74</v>
      </c>
      <c r="I209" s="49">
        <v>1.011802143488</v>
      </c>
      <c r="J209" s="49">
        <v>552.31</v>
      </c>
      <c r="K209" s="49">
        <v>5.68761765842518</v>
      </c>
      <c r="L209" s="49">
        <v>15.62</v>
      </c>
      <c r="M209" s="49">
        <v>2.43813395154328</v>
      </c>
      <c r="N209" s="49">
        <v>5864</v>
      </c>
      <c r="O209" s="49">
        <v>6.55127371142277</v>
      </c>
      <c r="P209" s="49">
        <v>199.75</v>
      </c>
      <c r="Q209" s="49">
        <v>5.5790991510131</v>
      </c>
      <c r="R209" s="49">
        <v>208.34</v>
      </c>
      <c r="S209" s="49">
        <v>5.51381621566578</v>
      </c>
      <c r="T209" s="49">
        <v>168.84</v>
      </c>
      <c r="U209" s="49">
        <v>4.89709212872983</v>
      </c>
      <c r="V209" s="49">
        <v>18.23</v>
      </c>
      <c r="W209" s="23">
        <v>2.98508014820836</v>
      </c>
      <c r="X209" s="23"/>
      <c r="Y209" s="49"/>
      <c r="Z209" s="49">
        <v>19.66</v>
      </c>
      <c r="AA209" s="49">
        <v>0.717865647923098</v>
      </c>
      <c r="AB209" s="49">
        <v>855.53</v>
      </c>
      <c r="AC209" s="23">
        <v>5.63654178216723</v>
      </c>
      <c r="AD209" s="23"/>
      <c r="AE209" s="49"/>
      <c r="AF209" s="49">
        <v>289.94</v>
      </c>
      <c r="AG209" s="49">
        <v>0.340634288008585</v>
      </c>
      <c r="AH209" s="54">
        <v>91.56</v>
      </c>
      <c r="AI209" s="23">
        <v>-0.0312003336622114</v>
      </c>
      <c r="AJ209" s="24">
        <v>60</v>
      </c>
      <c r="AK209" s="29">
        <v>2</v>
      </c>
      <c r="AL209" s="29">
        <v>1</v>
      </c>
      <c r="AM209" s="29">
        <v>1</v>
      </c>
      <c r="AN209" s="30"/>
      <c r="AO209" s="29">
        <v>1</v>
      </c>
      <c r="AP209" s="35"/>
      <c r="AQ209" s="35"/>
      <c r="AR209" s="35"/>
      <c r="AS209" s="35"/>
      <c r="AT209" s="35"/>
      <c r="AU209" s="35"/>
      <c r="AV209" s="35"/>
      <c r="AW209" s="35"/>
      <c r="AX209" s="35"/>
      <c r="AY209" s="35"/>
      <c r="AZ209" s="35"/>
      <c r="BA209" s="29">
        <v>5</v>
      </c>
      <c r="BB209" s="29">
        <v>1</v>
      </c>
      <c r="BC209" s="29">
        <v>1</v>
      </c>
      <c r="BD209" s="29">
        <v>1</v>
      </c>
      <c r="BE209" s="24">
        <v>882</v>
      </c>
      <c r="BF209" s="29">
        <f t="shared" si="3"/>
        <v>0</v>
      </c>
    </row>
    <row r="210" spans="1:58">
      <c r="A210" s="48" t="s">
        <v>352</v>
      </c>
      <c r="B210" s="48" t="s">
        <v>353</v>
      </c>
      <c r="C210" s="15" t="s">
        <v>192</v>
      </c>
      <c r="D210" s="49">
        <v>18.86</v>
      </c>
      <c r="E210" s="49">
        <v>-0.505039280952413</v>
      </c>
      <c r="F210" s="49">
        <v>91.86</v>
      </c>
      <c r="G210" s="49">
        <v>0.307394053901458</v>
      </c>
      <c r="H210" s="49">
        <v>71.49</v>
      </c>
      <c r="I210" s="49">
        <v>0.340473107412455</v>
      </c>
      <c r="J210" s="49">
        <v>22.67</v>
      </c>
      <c r="K210" s="49">
        <v>-0.326458122716169</v>
      </c>
      <c r="L210" s="49">
        <v>5.42</v>
      </c>
      <c r="M210" s="49">
        <v>0.30098220439066</v>
      </c>
      <c r="N210" s="49">
        <v>146.71</v>
      </c>
      <c r="O210" s="49">
        <v>-0.292565823672023</v>
      </c>
      <c r="P210" s="49">
        <v>18.96</v>
      </c>
      <c r="Q210" s="49">
        <v>0.0579085218815162</v>
      </c>
      <c r="R210" s="49">
        <v>12.67</v>
      </c>
      <c r="S210" s="49">
        <v>-0.260154765493411</v>
      </c>
      <c r="T210" s="49">
        <v>82.12</v>
      </c>
      <c r="U210" s="49">
        <v>1.94434961805742</v>
      </c>
      <c r="V210" s="49">
        <v>10.9</v>
      </c>
      <c r="W210" s="23">
        <v>0.673069509215209</v>
      </c>
      <c r="X210" s="23"/>
      <c r="Y210" s="49"/>
      <c r="Z210" s="49">
        <v>26.21</v>
      </c>
      <c r="AA210" s="49">
        <v>1.70155183911479</v>
      </c>
      <c r="AB210" s="49">
        <v>19.05</v>
      </c>
      <c r="AC210" s="23">
        <v>-0.350419154020773</v>
      </c>
      <c r="AD210" s="23"/>
      <c r="AE210" s="49"/>
      <c r="AF210" s="49">
        <v>234.2</v>
      </c>
      <c r="AG210" s="49">
        <v>-0.0391557081228674</v>
      </c>
      <c r="AH210" s="54">
        <v>65.32</v>
      </c>
      <c r="AI210" s="23">
        <v>-0.107242869658462</v>
      </c>
      <c r="AJ210" s="24">
        <v>74</v>
      </c>
      <c r="AK210" s="29">
        <v>2</v>
      </c>
      <c r="AL210" s="29">
        <v>1</v>
      </c>
      <c r="AM210" s="29">
        <v>1</v>
      </c>
      <c r="AN210" s="30"/>
      <c r="AO210" s="29">
        <v>1</v>
      </c>
      <c r="AP210" s="35"/>
      <c r="AQ210" s="35"/>
      <c r="AR210" s="35"/>
      <c r="AS210" s="35"/>
      <c r="AT210" s="35"/>
      <c r="AU210" s="35"/>
      <c r="AV210" s="35"/>
      <c r="AW210" s="35"/>
      <c r="AX210" s="35"/>
      <c r="AY210" s="35"/>
      <c r="AZ210" s="35"/>
      <c r="BA210" s="29">
        <v>2</v>
      </c>
      <c r="BB210" s="29">
        <v>0</v>
      </c>
      <c r="BC210" s="29">
        <v>0</v>
      </c>
      <c r="BD210" s="29">
        <v>0</v>
      </c>
      <c r="BE210" s="24">
        <v>1273</v>
      </c>
      <c r="BF210" s="29">
        <f t="shared" si="3"/>
        <v>0</v>
      </c>
    </row>
    <row r="211" spans="1:58">
      <c r="A211" s="48" t="s">
        <v>354</v>
      </c>
      <c r="B211" s="48" t="s">
        <v>355</v>
      </c>
      <c r="C211" s="15" t="s">
        <v>192</v>
      </c>
      <c r="D211" s="49">
        <v>12.99</v>
      </c>
      <c r="E211" s="49">
        <v>-0.664629540488306</v>
      </c>
      <c r="F211" s="49">
        <v>66.46</v>
      </c>
      <c r="G211" s="49">
        <v>-0.665493150362134</v>
      </c>
      <c r="H211" s="49">
        <v>51.61</v>
      </c>
      <c r="I211" s="49">
        <v>-0.0733570084691544</v>
      </c>
      <c r="J211" s="49">
        <v>9.46</v>
      </c>
      <c r="K211" s="49">
        <v>-0.476458011449794</v>
      </c>
      <c r="L211" s="49">
        <v>2.89</v>
      </c>
      <c r="M211" s="49">
        <v>-0.229115238775626</v>
      </c>
      <c r="N211" s="49">
        <v>28.61</v>
      </c>
      <c r="O211" s="49">
        <v>-0.433936551603385</v>
      </c>
      <c r="P211" s="49">
        <v>2.28</v>
      </c>
      <c r="Q211" s="49">
        <v>-0.451486133209555</v>
      </c>
      <c r="R211" s="49">
        <v>8.89</v>
      </c>
      <c r="S211" s="49">
        <v>-0.371697722046698</v>
      </c>
      <c r="T211" s="49">
        <v>7.41</v>
      </c>
      <c r="U211" s="49">
        <v>-0.59946257027671</v>
      </c>
      <c r="V211" s="49">
        <v>9.54</v>
      </c>
      <c r="W211" s="23">
        <v>0.244101641680327</v>
      </c>
      <c r="X211" s="23"/>
      <c r="Y211" s="49"/>
      <c r="Z211" s="49">
        <v>13.77</v>
      </c>
      <c r="AA211" s="49">
        <v>-0.166701018659967</v>
      </c>
      <c r="AB211" s="49">
        <v>7.24</v>
      </c>
      <c r="AC211" s="23">
        <v>-0.434947186557571</v>
      </c>
      <c r="AD211" s="23"/>
      <c r="AE211" s="49"/>
      <c r="AF211" s="49">
        <v>144.61</v>
      </c>
      <c r="AG211" s="49">
        <v>-0.649586023038848</v>
      </c>
      <c r="AH211" s="54">
        <v>55.09</v>
      </c>
      <c r="AI211" s="23">
        <v>-0.136889026032</v>
      </c>
      <c r="AJ211" s="24">
        <v>60</v>
      </c>
      <c r="AK211" s="29">
        <v>1</v>
      </c>
      <c r="AL211" s="29">
        <v>1</v>
      </c>
      <c r="AM211" s="29">
        <v>2</v>
      </c>
      <c r="AN211" s="30"/>
      <c r="AO211" s="29">
        <v>1</v>
      </c>
      <c r="AP211" s="35"/>
      <c r="AQ211" s="35"/>
      <c r="AR211" s="35"/>
      <c r="AS211" s="35"/>
      <c r="AT211" s="35"/>
      <c r="AU211" s="35"/>
      <c r="AV211" s="35"/>
      <c r="AW211" s="35"/>
      <c r="AX211" s="35"/>
      <c r="AY211" s="35"/>
      <c r="AZ211" s="35"/>
      <c r="BA211" s="29">
        <v>3</v>
      </c>
      <c r="BB211" s="29">
        <v>1</v>
      </c>
      <c r="BC211" s="29">
        <v>1</v>
      </c>
      <c r="BD211" s="29">
        <v>0</v>
      </c>
      <c r="BE211" s="24">
        <v>1250</v>
      </c>
      <c r="BF211" s="29">
        <f t="shared" si="3"/>
        <v>0</v>
      </c>
    </row>
    <row r="212" spans="1:58">
      <c r="A212" s="48" t="s">
        <v>356</v>
      </c>
      <c r="B212" s="48" t="s">
        <v>357</v>
      </c>
      <c r="C212" s="15" t="s">
        <v>192</v>
      </c>
      <c r="D212" s="53">
        <v>13.66</v>
      </c>
      <c r="E212" s="53">
        <v>-0.646413957202267</v>
      </c>
      <c r="F212" s="53">
        <v>75.02</v>
      </c>
      <c r="G212" s="53">
        <v>-0.337622501996136</v>
      </c>
      <c r="H212" s="53">
        <v>40.79</v>
      </c>
      <c r="I212" s="53">
        <v>-0.298590502123028</v>
      </c>
      <c r="J212" s="53">
        <v>8.96</v>
      </c>
      <c r="K212" s="53">
        <v>-0.482135524270901</v>
      </c>
      <c r="L212" s="53">
        <v>3.81</v>
      </c>
      <c r="M212" s="53">
        <v>-0.0363525321697039</v>
      </c>
      <c r="N212" s="53">
        <v>38.38</v>
      </c>
      <c r="O212" s="53">
        <v>-0.422241445660207</v>
      </c>
      <c r="P212" s="53">
        <v>5.04</v>
      </c>
      <c r="Q212" s="53">
        <v>-0.367197808985853</v>
      </c>
      <c r="R212" s="53">
        <v>4.5</v>
      </c>
      <c r="S212" s="53">
        <v>-0.501240996985569</v>
      </c>
      <c r="T212" s="53">
        <v>12.45</v>
      </c>
      <c r="U212" s="53">
        <v>-0.427854841335417</v>
      </c>
      <c r="V212" s="53">
        <v>6.71</v>
      </c>
      <c r="W212" s="23">
        <v>-0.648530023851816</v>
      </c>
      <c r="X212" s="23"/>
      <c r="Y212" s="49"/>
      <c r="Z212" s="49">
        <v>16.65</v>
      </c>
      <c r="AA212" s="49">
        <v>0.265820543268594</v>
      </c>
      <c r="AB212" s="49">
        <v>11.06</v>
      </c>
      <c r="AC212" s="23">
        <v>-0.407606197201892</v>
      </c>
      <c r="AD212" s="23"/>
      <c r="AE212" s="49"/>
      <c r="AF212" s="49">
        <v>158.81</v>
      </c>
      <c r="AG212" s="49">
        <v>-0.552832920328647</v>
      </c>
      <c r="AH212" s="54">
        <v>21.47</v>
      </c>
      <c r="AI212" s="23">
        <v>-0.234318525277196</v>
      </c>
      <c r="AJ212" s="24">
        <v>71</v>
      </c>
      <c r="AK212" s="29">
        <v>1</v>
      </c>
      <c r="AL212" s="29">
        <v>1</v>
      </c>
      <c r="AM212" s="29">
        <v>3</v>
      </c>
      <c r="AN212" s="30"/>
      <c r="AO212" s="29">
        <v>3</v>
      </c>
      <c r="AP212" s="35"/>
      <c r="AQ212" s="35"/>
      <c r="AR212" s="35"/>
      <c r="AS212" s="35"/>
      <c r="AT212" s="35"/>
      <c r="AU212" s="35"/>
      <c r="AV212" s="35"/>
      <c r="AW212" s="35"/>
      <c r="AX212" s="35"/>
      <c r="AY212" s="35"/>
      <c r="AZ212" s="35"/>
      <c r="BA212" s="29">
        <v>2</v>
      </c>
      <c r="BB212" s="29">
        <v>0</v>
      </c>
      <c r="BC212" s="29">
        <v>0</v>
      </c>
      <c r="BD212" s="29">
        <v>0</v>
      </c>
      <c r="BE212" s="24">
        <v>1183</v>
      </c>
      <c r="BF212" s="29">
        <f t="shared" si="3"/>
        <v>0</v>
      </c>
    </row>
    <row r="213" spans="1:58">
      <c r="A213" s="55" t="s">
        <v>358</v>
      </c>
      <c r="B213" s="55" t="s">
        <v>359</v>
      </c>
      <c r="C213" s="15" t="s">
        <v>192</v>
      </c>
      <c r="D213" s="53">
        <v>22.08</v>
      </c>
      <c r="E213" s="53">
        <v>-0.417495731428464</v>
      </c>
      <c r="F213" s="53">
        <v>96.27</v>
      </c>
      <c r="G213" s="53">
        <v>0.476308722043286</v>
      </c>
      <c r="H213" s="53">
        <v>89.09</v>
      </c>
      <c r="I213" s="53">
        <v>0.70684182167384</v>
      </c>
      <c r="J213" s="53">
        <v>29.93</v>
      </c>
      <c r="K213" s="53">
        <v>-0.244020636553708</v>
      </c>
      <c r="L213" s="53">
        <v>3.88</v>
      </c>
      <c r="M213" s="53">
        <v>-0.0216858044931663</v>
      </c>
      <c r="N213" s="53">
        <v>257.05</v>
      </c>
      <c r="O213" s="53">
        <v>-0.160484146111088</v>
      </c>
      <c r="P213" s="53">
        <v>10.83</v>
      </c>
      <c r="Q213" s="53">
        <v>-0.190375563603521</v>
      </c>
      <c r="R213" s="53">
        <v>12.75</v>
      </c>
      <c r="S213" s="53">
        <v>-0.257794068000219</v>
      </c>
      <c r="T213" s="53">
        <v>24.33</v>
      </c>
      <c r="U213" s="53">
        <v>-0.0233509088309402</v>
      </c>
      <c r="V213" s="53">
        <v>10.74</v>
      </c>
      <c r="W213" s="56">
        <v>0.622602701269928</v>
      </c>
      <c r="X213" s="56"/>
      <c r="Y213" s="53"/>
      <c r="Z213" s="53">
        <v>11.46</v>
      </c>
      <c r="AA213" s="53">
        <v>-0.513619354790168</v>
      </c>
      <c r="AB213" s="53">
        <v>47.86</v>
      </c>
      <c r="AC213" s="56">
        <v>-0.144216561524149</v>
      </c>
      <c r="AD213" s="56"/>
      <c r="AE213" s="53"/>
      <c r="AF213" s="53">
        <v>69.53</v>
      </c>
      <c r="AG213" s="53">
        <v>-1.16115101962208</v>
      </c>
      <c r="AH213" s="53">
        <v>37.13</v>
      </c>
      <c r="AI213" s="23">
        <v>-0.188936432529433</v>
      </c>
      <c r="AJ213" s="24">
        <v>50</v>
      </c>
      <c r="AK213" s="29">
        <v>2</v>
      </c>
      <c r="AL213" s="29">
        <v>1</v>
      </c>
      <c r="AM213" s="29">
        <v>1</v>
      </c>
      <c r="AN213" s="30"/>
      <c r="AO213" s="29">
        <v>3</v>
      </c>
      <c r="AP213" s="35"/>
      <c r="AQ213" s="35"/>
      <c r="AR213" s="35"/>
      <c r="AS213" s="35"/>
      <c r="AT213" s="35"/>
      <c r="AU213" s="35"/>
      <c r="AV213" s="35"/>
      <c r="AW213" s="35"/>
      <c r="AX213" s="35"/>
      <c r="AY213" s="35"/>
      <c r="AZ213" s="35"/>
      <c r="BA213" s="29">
        <v>1</v>
      </c>
      <c r="BB213" s="29">
        <v>0</v>
      </c>
      <c r="BC213" s="29">
        <v>0</v>
      </c>
      <c r="BD213" s="29">
        <v>0</v>
      </c>
      <c r="BE213" s="24">
        <v>1114</v>
      </c>
      <c r="BF213" s="29">
        <f t="shared" si="3"/>
        <v>0</v>
      </c>
    </row>
  </sheetData>
  <sortState ref="A2:BC213">
    <sortCondition ref="C2:C213"/>
    <sortCondition ref="A2:A213"/>
  </sortState>
  <conditionalFormatting sqref="A213:B213">
    <cfRule type="duplicateValues" dxfId="0" priority="1"/>
  </conditionalFormatting>
  <conditionalFormatting sqref="A146:B212">
    <cfRule type="duplicateValues" dxfId="0" priority="2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IBM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data_dictionary</vt:lpstr>
      <vt:lpstr>cytokines_data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vietlab</cp:lastModifiedBy>
  <dcterms:created xsi:type="dcterms:W3CDTF">2011-07-31T22:22:00Z</dcterms:created>
  <dcterms:modified xsi:type="dcterms:W3CDTF">2026-07-30T13:53:20Z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